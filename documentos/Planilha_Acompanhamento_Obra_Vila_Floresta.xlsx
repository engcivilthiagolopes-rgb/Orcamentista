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Despesas" sheetId="4" state="visible" r:id="rId4"/>
    <sheet xmlns:r="http://schemas.openxmlformats.org/officeDocument/2006/relationships" name="Materiais" sheetId="5" state="visible" r:id="rId5"/>
    <sheet xmlns:r="http://schemas.openxmlformats.org/officeDocument/2006/relationships" name="Medições" sheetId="6" state="visible" r:id="rId6"/>
    <sheet xmlns:r="http://schemas.openxmlformats.org/officeDocument/2006/relationships" name="Diário de Obra" sheetId="7" state="visible" r:id="rId7"/>
    <sheet xmlns:r="http://schemas.openxmlformats.org/officeDocument/2006/relationships" name="Instruções" sheetId="8" state="visible" r:id="rId8"/>
  </sheets>
  <definedNames>
    <definedName name="_xlnm.Print_Area" localSheetId="0">'Painel'!$A$1:$L$37</definedName>
    <definedName name="_xlnm._FilterDatabase" localSheetId="1" hidden="1">'Cronograma'!$A$6:$Q$27</definedName>
    <definedName name="_xlnm.Print_Titles" localSheetId="1">'Cronograma'!$1:$6</definedName>
    <definedName name="_xlnm.Print_Area" localSheetId="1">'Cronograma'!$A$1:$Q$27</definedName>
    <definedName name="_xlnm.Print_Area" localSheetId="2">'Financeiro'!$A$1:$K$12</definedName>
    <definedName name="_xlnm.Print_Titles" localSheetId="3">'Despesas'!$1:$6</definedName>
    <definedName name="_xlnm.Print_Area" localSheetId="4">'Materiais'!$A$1:$N$18</definedName>
    <definedName name="_xlnm.Print_Area" localSheetId="5">'Medições'!$A$1:$L$12</definedName>
    <definedName name="_xlnm.Print_Titles" localSheetId="6">'Diário de Obra'!$1:$6</definedName>
    <definedName name="_xlnm.Print_Area" localSheetId="7">'Instruções'!$A$1:$H$27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63746"/>
      <sz val="9"/>
    </font>
    <font>
      <name val="Arial"/>
      <b val="1"/>
      <color rgb="00FFFFFF"/>
      <sz val="9"/>
    </font>
    <font>
      <name val="Arial"/>
      <color rgb="00263746"/>
      <sz val="9"/>
    </font>
    <font>
      <name val="Arial"/>
      <b val="1"/>
      <color rgb="00FFFFFF"/>
      <sz val="8"/>
    </font>
    <font>
      <name val="Arial"/>
      <b val="1"/>
      <color rgb="001E3347"/>
      <sz val="15"/>
    </font>
    <font>
      <name val="Arial"/>
      <b val="1"/>
      <color rgb="00FFFFFF"/>
      <sz val="10"/>
    </font>
    <font>
      <name val="Arial"/>
      <b val="1"/>
      <color rgb="00263746"/>
      <sz val="9"/>
    </font>
    <font>
      <name val="Arial"/>
      <b val="1"/>
      <color rgb="001E3347"/>
      <sz val="9"/>
    </font>
    <font>
      <name val="Arial"/>
      <b val="1"/>
      <color rgb="00FFFFFF"/>
    </font>
    <font>
      <name val="Arial"/>
      <b val="1"/>
      <color rgb="001E3347"/>
    </font>
    <font>
      <name val="Arial"/>
      <b val="1"/>
      <color rgb="00FFFFFF"/>
      <sz val="11"/>
    </font>
    <font>
      <name val="Arial"/>
      <color rgb="00263746"/>
      <sz val="10"/>
    </font>
  </fonts>
  <fills count="6">
    <fill>
      <patternFill/>
    </fill>
    <fill>
      <patternFill patternType="gray125"/>
    </fill>
    <fill>
      <patternFill patternType="solid">
        <fgColor rgb="001E3347"/>
      </patternFill>
    </fill>
    <fill>
      <patternFill patternType="solid">
        <fgColor rgb="00F5EFD9"/>
      </patternFill>
    </fill>
    <fill>
      <patternFill patternType="solid">
        <fgColor rgb="00FFF2CC"/>
      </patternFill>
    </fill>
    <fill>
      <patternFill patternType="solid">
        <fgColor rgb="00E9EEF2"/>
      </patternFill>
    </fill>
  </fills>
  <borders count="6">
    <border>
      <left/>
      <right/>
      <top/>
      <bottom/>
      <diagonal/>
    </border>
    <border>
      <left style="thin">
        <color rgb="00B7C5CF"/>
      </left>
      <right style="thin">
        <color rgb="00B7C5CF"/>
      </right>
      <top style="thin">
        <color rgb="00B7C5CF"/>
      </top>
      <bottom style="thin">
        <color rgb="00B7C5CF"/>
      </bottom>
    </border>
    <border>
      <left/>
      <right/>
      <top style="thin">
        <color rgb="00B7C5CF"/>
      </top>
      <bottom/>
      <diagonal/>
    </border>
    <border>
      <left/>
      <right style="thin">
        <color rgb="00B7C5CF"/>
      </right>
      <top style="thin">
        <color rgb="00B7C5CF"/>
      </top>
      <bottom/>
      <diagonal/>
    </border>
    <border>
      <left/>
      <right/>
      <top style="thin">
        <color rgb="00B7C5CF"/>
      </top>
      <bottom style="thin">
        <color rgb="00B7C5CF"/>
      </bottom>
      <diagonal/>
    </border>
    <border>
      <left/>
      <right style="thin">
        <color rgb="00B7C5CF"/>
      </right>
      <top style="thin">
        <color rgb="00B7C5CF"/>
      </top>
      <bottom style="thin">
        <color rgb="00B7C5C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center"/>
    </xf>
    <xf numFmtId="164" fontId="4" fillId="4" borderId="1" applyAlignment="1" pivotButton="0" quotePrefix="0" xfId="0">
      <alignment vertical="center" wrapText="1"/>
    </xf>
    <xf numFmtId="9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" fontId="6" fillId="5" borderId="0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 wrapText="1"/>
    </xf>
    <xf numFmtId="165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0" fontId="8" fillId="5" borderId="1" pivotButton="0" quotePrefix="0" xfId="0"/>
    <xf numFmtId="0" fontId="0" fillId="0" borderId="1" pivotButton="0" quotePrefix="0" xfId="0"/>
    <xf numFmtId="165" fontId="9" fillId="0" borderId="1" pivotButton="0" quotePrefix="0" xfId="0"/>
    <xf numFmtId="0" fontId="2" fillId="3" borderId="0" pivotButton="0" quotePrefix="0" xfId="0"/>
    <xf numFmtId="0" fontId="10" fillId="2" borderId="0" pivotButton="0" quotePrefix="0" xfId="0"/>
    <xf numFmtId="164" fontId="11" fillId="5" borderId="1" pivotButton="0" quotePrefix="0" xfId="0"/>
    <xf numFmtId="9" fontId="11" fillId="5" borderId="1" pivotButton="0" quotePrefix="0" xfId="0"/>
    <xf numFmtId="164" fontId="4" fillId="0" borderId="1" applyAlignment="1" pivotButton="0" quotePrefix="0" xfId="0">
      <alignment vertical="center" wrapText="1"/>
    </xf>
    <xf numFmtId="165" fontId="11" fillId="5" borderId="1" pivotButton="0" quotePrefix="0" xfId="0"/>
    <xf numFmtId="0" fontId="12" fillId="2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Progresso físico geral</a:t>
            </a:r>
          </a:p>
        </rich>
      </tx>
    </title>
    <plotArea>
      <doughnutChart>
        <varyColors val="1"/>
        <ser>
          <idx val="0"/>
          <order val="0"/>
          <tx>
            <strRef>
              <f>'Painel'!O2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'Painel'!$N$3:$N$4</f>
            </numRef>
          </cat>
          <val>
            <numRef>
              <f>'Painel'!$O$3:$O$4</f>
            </numRef>
          </val>
        </ser>
        <dLbls>
          <showPercent val="1"/>
        </dLbls>
        <firstSliceAng val="0"/>
        <holeSize val="6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Conclusão por macroetapa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'Painel'!$A$13:$A$19</f>
            </numRef>
          </cat>
          <val>
            <numRef>
              <f>'Painel'!$D$13:$D$19</f>
            </numRef>
          </val>
        </ser>
        <gapWidth val="150"/>
        <axId val="10"/>
        <axId val="100"/>
      </barChart>
      <catAx>
        <axId val="10"/>
        <scaling>
          <orientation val="minMax"/>
          <max val="1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Cronograma" displayName="TabCronograma" ref="A6:Q27" headerRowCount="1">
  <autoFilter ref="A6:Q27"/>
  <tableColumns count="17">
    <tableColumn id="1" name="ID"/>
    <tableColumn id="2" name="Macroetapa"/>
    <tableColumn id="3" name="Atividade"/>
    <tableColumn id="4" name="Trecho"/>
    <tableColumn id="5" name="Predecessora"/>
    <tableColumn id="6" name="Início planejado"/>
    <tableColumn id="7" name="Fim planejado"/>
    <tableColumn id="8" name="Dias úteis"/>
    <tableColumn id="9" name="Peso físico"/>
    <tableColumn id="10" name="% concluído"/>
    <tableColumn id="11" name="Situação"/>
    <tableColumn id="12" name="Início real"/>
    <tableColumn id="13" name="Fim real"/>
    <tableColumn id="14" name="Desvio (dias)"/>
    <tableColumn id="15" name="Físico executado"/>
    <tableColumn id="16" name="Observações"/>
    <tableColumn id="17" name="Conf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Financeiro" displayName="TabFinanceiro" ref="A6:J10" headerRowCount="1">
  <autoFilter ref="A6:J10"/>
  <tableColumns count="10">
    <tableColumn id="1" name="Parcela"/>
    <tableColumn id="2" name="Evento"/>
    <tableColumn id="3" name="Vencimento previsto"/>
    <tableColumn id="4" name="Valor previsto"/>
    <tableColumn id="5" name="Situação"/>
    <tableColumn id="6" name="Data recebida"/>
    <tableColumn id="7" name="Valor recebido"/>
    <tableColumn id="8" name="Documento/NF"/>
    <tableColumn id="9" name="Dias de atraso"/>
    <tableColumn id="10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Despesas" displayName="TabDespesas" ref="A6:L106" headerRowCount="1">
  <autoFilter ref="A6:L106"/>
  <tableColumns count="12">
    <tableColumn id="1" name="Data"/>
    <tableColumn id="2" name="Categoria"/>
    <tableColumn id="3" name="Fornecedor/MEI"/>
    <tableColumn id="4" name="Descrição"/>
    <tableColumn id="5" name="Documento/NF"/>
    <tableColumn id="6" name="Valor previsto"/>
    <tableColumn id="7" name="Valor realizado"/>
    <tableColumn id="8" name="Situação"/>
    <tableColumn id="9" name="Data pagamento"/>
    <tableColumn id="10" name="Forma de pagamento"/>
    <tableColumn id="11" name="Trecho"/>
    <tableColumn id="12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Materiais" displayName="TabMateriais" ref="A6:N16" headerRowCount="1">
  <autoFilter ref="A6:N16"/>
  <tableColumns count="14">
    <tableColumn id="1" name="Item"/>
    <tableColumn id="2" name="Unidade"/>
    <tableColumn id="3" name="Qtd. preliminar"/>
    <tableColumn id="4" name="Qtd. solicitada"/>
    <tableColumn id="5" name="Qtd. entregue"/>
    <tableColumn id="6" name="Qtd. utilizada"/>
    <tableColumn id="7" name="Saldo disponível"/>
    <tableColumn id="8" name="A entregar"/>
    <tableColumn id="9" name="Data necessária"/>
    <tableColumn id="10" name="Entrega prevista"/>
    <tableColumn id="11" name="Entrega realizada"/>
    <tableColumn id="12" name="Fornecedor"/>
    <tableColumn id="13" name="Situação"/>
    <tableColumn id="14" name="Observa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Medicoes" displayName="TabMedicoes" ref="A6:L10" headerRowCount="1">
  <autoFilter ref="A6:L10"/>
  <tableColumns count="12">
    <tableColumn id="1" name="Medição"/>
    <tableColumn id="2" name="Período"/>
    <tableColumn id="3" name="Data da vistoria"/>
    <tableColumn id="4" name="Físico planejado acum."/>
    <tableColumn id="5" name="Físico realizado acum."/>
    <tableColumn id="6" name="Desvio físico"/>
    <tableColumn id="7" name="Valor contratual"/>
    <tableColumn id="8" name="Valor recebido acum."/>
    <tableColumn id="9" name="Relatório emitido?"/>
    <tableColumn id="10" name="Aprovado por"/>
    <tableColumn id="11" name="Situação"/>
    <tableColumn id="12" name="Observaçõ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Diario" displayName="TabDiario" ref="A6:N106" headerRowCount="1">
  <autoFilter ref="A6:N106"/>
  <tableColumns count="14">
    <tableColumn id="1" name="Data"/>
    <tableColumn id="2" name="Dia"/>
    <tableColumn id="3" name="Clima"/>
    <tableColumn id="4" name="Trecho"/>
    <tableColumn id="5" name="Pedreiros"/>
    <tableColumn id="6" name="Serventes"/>
    <tableColumn id="7" name="Horas trabalhadas"/>
    <tableColumn id="8" name="Atividades executadas"/>
    <tableColumn id="9" name="Materiais recebidos/usados"/>
    <tableColumn id="10" name="Equipamentos"/>
    <tableColumn id="11" name="Segurança/DDS"/>
    <tableColumn id="12" name="Ocorrências e paralisações"/>
    <tableColumn id="13" name="Fotos/links"/>
    <tableColumn id="14" name="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8" customWidth="1" min="5" max="5"/>
    <col width="3" customWidth="1" min="6" max="6"/>
    <col width="17" customWidth="1" min="7" max="7"/>
    <col width="12" customWidth="1" min="8" max="8"/>
    <col width="17" customWidth="1" min="9" max="9"/>
    <col width="12" customWidth="1" min="10" max="10"/>
    <col width="17" customWidth="1" min="11" max="11"/>
    <col width="12" customWidth="1" min="12" max="12"/>
    <col hidden="1" width="13" customWidth="1" min="14" max="14"/>
    <col hidden="1" width="13" customWidth="1" min="15" max="15"/>
  </cols>
  <sheetData>
    <row r="1" ht="30" customHeight="1">
      <c r="A1" s="1" t="inlineStr">
        <is>
          <t>PAINEL DE CONTROLE — MUROS DO CONDOMÍNIO VILA FLORESTA</t>
        </is>
      </c>
    </row>
    <row r="2">
      <c r="A2" s="2" t="inlineStr">
        <is>
          <t>Preencha as células amarelas. O restante da planilha calcula automaticamente os principais indicadores.</t>
        </is>
      </c>
      <c r="N2" t="inlineStr">
        <is>
          <t>Situação</t>
        </is>
      </c>
      <c r="O2" t="inlineStr">
        <is>
          <t>Valor</t>
        </is>
      </c>
    </row>
    <row r="3">
      <c r="N3" t="inlineStr">
        <is>
          <t>Executado</t>
        </is>
      </c>
      <c r="O3">
        <f>G5</f>
        <v/>
      </c>
    </row>
    <row r="4">
      <c r="A4" s="3" t="inlineStr">
        <is>
          <t>Contratada</t>
        </is>
      </c>
      <c r="B4" s="4" t="inlineStr">
        <is>
          <t>Matias Magalhães Serviços de Engenharia Ltda.</t>
        </is>
      </c>
      <c r="C4" s="5" t="n"/>
      <c r="D4" s="5" t="n"/>
      <c r="E4" s="6" t="n"/>
      <c r="G4" s="7" t="inlineStr">
        <is>
          <t>PROGRESSO FÍSICO</t>
        </is>
      </c>
      <c r="I4" s="7" t="inlineStr">
        <is>
          <t>ETAPAS CONCLUÍDAS</t>
        </is>
      </c>
      <c r="K4" s="7" t="inlineStr">
        <is>
          <t>ETAPAS EM ATRASO</t>
        </is>
      </c>
      <c r="N4" t="inlineStr">
        <is>
          <t>Restante</t>
        </is>
      </c>
      <c r="O4">
        <f>1-G5</f>
        <v/>
      </c>
    </row>
    <row r="5" ht="28" customHeight="1">
      <c r="A5" s="3" t="inlineStr">
        <is>
          <t>Data de início planejada</t>
        </is>
      </c>
      <c r="B5" s="8" t="n"/>
      <c r="C5" s="5" t="n"/>
      <c r="D5" s="5" t="n"/>
      <c r="E5" s="6" t="n"/>
      <c r="G5" s="9">
        <f>IFERROR(SUMPRODUCT(Cronograma!$I$7:$I$27,Cronograma!$J$7:$J$27)/SUM(Cronograma!$I$7:$I$27),0)</f>
        <v/>
      </c>
      <c r="I5" s="10">
        <f>COUNTIF(Cronograma!$K$7:$K$27,"Concluída")&amp;" de "&amp;COUNTA(Cronograma!$A$7:$A$27)</f>
        <v/>
      </c>
      <c r="K5" s="11">
        <f>SUMPRODUCT(--(Cronograma!$G$7:$G$27&lt;&gt;""),--(Cronograma!$G$7:$G$27&lt;TODAY()),--(Cronograma!$K$7:$K$27&lt;&gt;"Concluída"))</f>
        <v/>
      </c>
    </row>
    <row r="6">
      <c r="A6" s="3" t="inlineStr">
        <is>
          <t>Prazo contratual</t>
        </is>
      </c>
      <c r="B6" s="4" t="inlineStr">
        <is>
          <t>90 dias úteis</t>
        </is>
      </c>
      <c r="C6" s="5" t="n"/>
      <c r="D6" s="5" t="n"/>
      <c r="E6" s="6" t="n"/>
    </row>
    <row r="7">
      <c r="A7" s="3" t="inlineStr">
        <is>
          <t>Valor do contrato</t>
        </is>
      </c>
      <c r="B7" s="12" t="n">
        <v>125000</v>
      </c>
      <c r="C7" s="5" t="n"/>
      <c r="D7" s="5" t="n"/>
      <c r="E7" s="6" t="n"/>
      <c r="G7" s="7" t="inlineStr">
        <is>
          <t>RECEBIDO</t>
        </is>
      </c>
      <c r="I7" s="7" t="inlineStr">
        <is>
          <t>DESPESAS PAGAS</t>
        </is>
      </c>
      <c r="K7" s="7" t="inlineStr">
        <is>
          <t>SALDO DE CAIXA</t>
        </is>
      </c>
    </row>
    <row r="8" ht="28" customHeight="1">
      <c r="A8" s="3" t="inlineStr">
        <is>
          <t>Responsável técnico</t>
        </is>
      </c>
      <c r="B8" s="4" t="inlineStr">
        <is>
          <t>Thiago Lopes Magalhães dos Reis — CREA-RJ 2017119095</t>
        </is>
      </c>
      <c r="C8" s="5" t="n"/>
      <c r="D8" s="5" t="n"/>
      <c r="E8" s="6" t="n"/>
      <c r="G8" s="13">
        <f>SUMIF(Financeiro!$E$7:$E$10,"Pago",Financeiro!$G$7:$G$10)</f>
        <v/>
      </c>
      <c r="I8" s="13">
        <f>SUMIF(Despesas!$H$7:$H$106,"Pago",Despesas!$G$7:$G$106)</f>
        <v/>
      </c>
      <c r="K8" s="13">
        <f>G8-I8</f>
        <v/>
      </c>
    </row>
    <row r="11" ht="22" customHeight="1">
      <c r="A11" s="14" t="inlineStr">
        <is>
          <t>PROGRESSO POR MACROETAPA</t>
        </is>
      </c>
      <c r="G11" s="14" t="inlineStr">
        <is>
          <t>RESUMO FINANCEIRO</t>
        </is>
      </c>
    </row>
    <row r="12" ht="30" customHeight="1">
      <c r="A12" s="15" t="inlineStr">
        <is>
          <t>Macroetapa</t>
        </is>
      </c>
      <c r="B12" s="15" t="inlineStr">
        <is>
          <t>Peso</t>
        </is>
      </c>
      <c r="C12" s="15" t="inlineStr">
        <is>
          <t>Executado</t>
        </is>
      </c>
      <c r="D12" s="15" t="inlineStr">
        <is>
          <t>% concluído</t>
        </is>
      </c>
      <c r="E12" s="15" t="inlineStr">
        <is>
          <t>Situação</t>
        </is>
      </c>
    </row>
    <row r="13">
      <c r="A13" s="4" t="inlineStr">
        <is>
          <t>Mobilização e limpeza</t>
        </is>
      </c>
      <c r="B13" s="16" t="n">
        <v>0.06</v>
      </c>
      <c r="C13" s="17">
        <f>SUMIF(Cronograma!$B$7:$B$27,A13,Cronograma!$O$7:$O$27)</f>
        <v/>
      </c>
      <c r="D13" s="16">
        <f>IFERROR(C13/B13,0)</f>
        <v/>
      </c>
      <c r="E13" s="4">
        <f>IF(D13=1,"Concluída",IF(D13&gt;0,"Em andamento","Não iniciada"))</f>
        <v/>
      </c>
      <c r="G13" s="18" t="inlineStr">
        <is>
          <t>Valor contratado</t>
        </is>
      </c>
      <c r="H13" s="19" t="n"/>
      <c r="I13" s="19" t="n"/>
      <c r="J13" s="20">
        <f>B7</f>
        <v/>
      </c>
      <c r="K13" s="19" t="n"/>
      <c r="L13" s="19" t="n"/>
    </row>
    <row r="14">
      <c r="A14" s="4" t="inlineStr">
        <is>
          <t>Demolição</t>
        </is>
      </c>
      <c r="B14" s="16" t="n">
        <v>0.15</v>
      </c>
      <c r="C14" s="17">
        <f>SUMIF(Cronograma!$B$7:$B$27,A14,Cronograma!$O$7:$O$27)</f>
        <v/>
      </c>
      <c r="D14" s="16">
        <f>IFERROR(C14/B14,0)</f>
        <v/>
      </c>
      <c r="E14" s="4">
        <f>IF(D14=1,"Concluída",IF(D14&gt;0,"Em andamento","Não iniciada"))</f>
        <v/>
      </c>
      <c r="G14" s="18" t="inlineStr">
        <is>
          <t>Total recebido</t>
        </is>
      </c>
      <c r="H14" s="19" t="n"/>
      <c r="I14" s="19" t="n"/>
      <c r="J14" s="20">
        <f>G8</f>
        <v/>
      </c>
      <c r="K14" s="19" t="n"/>
      <c r="L14" s="19" t="n"/>
    </row>
    <row r="15">
      <c r="A15" s="4" t="inlineStr">
        <is>
          <t>Fundações</t>
        </is>
      </c>
      <c r="B15" s="16" t="n">
        <v>0.2</v>
      </c>
      <c r="C15" s="17">
        <f>SUMIF(Cronograma!$B$7:$B$27,A15,Cronograma!$O$7:$O$27)</f>
        <v/>
      </c>
      <c r="D15" s="16">
        <f>IFERROR(C15/B15,0)</f>
        <v/>
      </c>
      <c r="E15" s="4">
        <f>IF(D15=1,"Concluída",IF(D15&gt;0,"Em andamento","Não iniciada"))</f>
        <v/>
      </c>
      <c r="G15" s="18" t="inlineStr">
        <is>
          <t>Saldo a receber</t>
        </is>
      </c>
      <c r="H15" s="19" t="n"/>
      <c r="I15" s="19" t="n"/>
      <c r="J15" s="20">
        <f>B7-G8</f>
        <v/>
      </c>
      <c r="K15" s="19" t="n"/>
      <c r="L15" s="19" t="n"/>
    </row>
    <row r="16">
      <c r="A16" s="4" t="inlineStr">
        <is>
          <t>Estrutura</t>
        </is>
      </c>
      <c r="B16" s="16" t="n">
        <v>0.22</v>
      </c>
      <c r="C16" s="17">
        <f>SUMIF(Cronograma!$B$7:$B$27,A16,Cronograma!$O$7:$O$27)</f>
        <v/>
      </c>
      <c r="D16" s="16">
        <f>IFERROR(C16/B16,0)</f>
        <v/>
      </c>
      <c r="E16" s="4">
        <f>IF(D16=1,"Concluída",IF(D16&gt;0,"Em andamento","Não iniciada"))</f>
        <v/>
      </c>
      <c r="G16" s="18" t="inlineStr">
        <is>
          <t>Despesas registradas</t>
        </is>
      </c>
      <c r="H16" s="19" t="n"/>
      <c r="I16" s="19" t="n"/>
      <c r="J16" s="20">
        <f>SUM(Despesas!$G$7:$G$106)</f>
        <v/>
      </c>
      <c r="K16" s="19" t="n"/>
      <c r="L16" s="19" t="n"/>
    </row>
    <row r="17">
      <c r="A17" s="4" t="inlineStr">
        <is>
          <t>Alvenaria</t>
        </is>
      </c>
      <c r="B17" s="16" t="n">
        <v>0.25</v>
      </c>
      <c r="C17" s="17">
        <f>SUMIF(Cronograma!$B$7:$B$27,A17,Cronograma!$O$7:$O$27)</f>
        <v/>
      </c>
      <c r="D17" s="16">
        <f>IFERROR(C17/B17,0)</f>
        <v/>
      </c>
      <c r="E17" s="4">
        <f>IF(D17=1,"Concluída",IF(D17&gt;0,"Em andamento","Não iniciada"))</f>
        <v/>
      </c>
      <c r="G17" s="18" t="inlineStr">
        <is>
          <t>Despesas pagas</t>
        </is>
      </c>
      <c r="H17" s="19" t="n"/>
      <c r="I17" s="19" t="n"/>
      <c r="J17" s="20">
        <f>I8</f>
        <v/>
      </c>
      <c r="K17" s="19" t="n"/>
      <c r="L17" s="19" t="n"/>
    </row>
    <row r="18">
      <c r="A18" s="4" t="inlineStr">
        <is>
          <t>Concertina</t>
        </is>
      </c>
      <c r="B18" s="16" t="n">
        <v>0.05</v>
      </c>
      <c r="C18" s="17">
        <f>SUMIF(Cronograma!$B$7:$B$27,A18,Cronograma!$O$7:$O$27)</f>
        <v/>
      </c>
      <c r="D18" s="16">
        <f>IFERROR(C18/B18,0)</f>
        <v/>
      </c>
      <c r="E18" s="4">
        <f>IF(D18=1,"Concluída",IF(D18&gt;0,"Em andamento","Não iniciada"))</f>
        <v/>
      </c>
      <c r="G18" s="18" t="inlineStr">
        <is>
          <t>Resultado de caixa atual</t>
        </is>
      </c>
      <c r="H18" s="19" t="n"/>
      <c r="I18" s="19" t="n"/>
      <c r="J18" s="20">
        <f>G8-I8</f>
        <v/>
      </c>
      <c r="K18" s="19" t="n"/>
      <c r="L18" s="19" t="n"/>
    </row>
    <row r="19">
      <c r="A19" s="4" t="inlineStr">
        <is>
          <t>Entrega</t>
        </is>
      </c>
      <c r="B19" s="16" t="n">
        <v>0.07000000000000001</v>
      </c>
      <c r="C19" s="17">
        <f>SUMIF(Cronograma!$B$7:$B$27,A19,Cronograma!$O$7:$O$27)</f>
        <v/>
      </c>
      <c r="D19" s="16">
        <f>IFERROR(C19/B19,0)</f>
        <v/>
      </c>
      <c r="E19" s="4">
        <f>IF(D19=1,"Concluída",IF(D19&gt;0,"Em andamento","Não iniciada"))</f>
        <v/>
      </c>
      <c r="G19" s="18" t="inlineStr">
        <is>
          <t>Margem empresarial planejada</t>
        </is>
      </c>
      <c r="H19" s="19" t="n"/>
      <c r="I19" s="19" t="n"/>
      <c r="J19" s="20" t="n">
        <v>11880</v>
      </c>
      <c r="K19" s="19" t="n"/>
      <c r="L19" s="19" t="n"/>
    </row>
  </sheetData>
  <mergeCells count="35">
    <mergeCell ref="G13:I13"/>
    <mergeCell ref="G19:I19"/>
    <mergeCell ref="B6:E6"/>
    <mergeCell ref="A11:E11"/>
    <mergeCell ref="K5:L5"/>
    <mergeCell ref="G18:I18"/>
    <mergeCell ref="B5:E5"/>
    <mergeCell ref="G8:H8"/>
    <mergeCell ref="G15:I15"/>
    <mergeCell ref="A2:L2"/>
    <mergeCell ref="J16:L16"/>
    <mergeCell ref="G14:I14"/>
    <mergeCell ref="B4:E4"/>
    <mergeCell ref="G7:H7"/>
    <mergeCell ref="I7:J7"/>
    <mergeCell ref="B7:E7"/>
    <mergeCell ref="G16:I16"/>
    <mergeCell ref="K8:L8"/>
    <mergeCell ref="J18:L18"/>
    <mergeCell ref="G5:H5"/>
    <mergeCell ref="I5:J5"/>
    <mergeCell ref="I8:J8"/>
    <mergeCell ref="J17:L17"/>
    <mergeCell ref="G4:H4"/>
    <mergeCell ref="K7:L7"/>
    <mergeCell ref="I4:J4"/>
    <mergeCell ref="B8:E8"/>
    <mergeCell ref="G11:L11"/>
    <mergeCell ref="J14:L14"/>
    <mergeCell ref="J13:L13"/>
    <mergeCell ref="J19:L19"/>
    <mergeCell ref="A1:L1"/>
    <mergeCell ref="G17:I17"/>
    <mergeCell ref="K4:L4"/>
    <mergeCell ref="J15:L15"/>
  </mergeCells>
  <conditionalFormatting sqref="D13:D19">
    <cfRule type="colorScale" priority="1">
      <colorScale>
        <cfvo type="num" val="0"/>
        <cfvo type="num" val="0.5"/>
        <cfvo type="num" val="1"/>
        <color rgb="00FCE4D6"/>
        <color rgb="00FFD966"/>
        <color rgb="0070AD47"/>
      </colorScale>
    </cfRule>
  </conditionalFormatting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9" customWidth="1" min="3" max="3"/>
    <col width="9" customWidth="1" min="4" max="4"/>
    <col width="13" customWidth="1" min="5" max="5"/>
    <col width="14" customWidth="1" min="6" max="6"/>
    <col width="14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13" customWidth="1" min="13" max="13"/>
    <col width="12" customWidth="1" min="14" max="14"/>
    <col width="13" customWidth="1" min="15" max="15"/>
    <col width="35" customWidth="1" min="16" max="16"/>
    <col width="18" customWidth="1" min="17" max="17"/>
  </cols>
  <sheetData>
    <row r="1" ht="30" customHeight="1">
      <c r="A1" s="1" t="inlineStr">
        <is>
          <t>CRONOGRAMA FÍSICO — CONTROLE DE ETAPAS</t>
        </is>
      </c>
    </row>
    <row r="2">
      <c r="A2" s="21" t="inlineStr">
        <is>
          <t>Atualize a porcentagem e a situação. Ao concluir uma atividade, informe 100%, situação Concluída e a data real de término.</t>
        </is>
      </c>
    </row>
    <row r="4">
      <c r="A4" s="22" t="inlineStr">
        <is>
          <t>Início planejado:</t>
        </is>
      </c>
      <c r="E4" s="23">
        <f>Painel!B5</f>
        <v/>
      </c>
      <c r="G4" s="22" t="inlineStr">
        <is>
          <t>Progresso físico total:</t>
        </is>
      </c>
      <c r="K4" s="24">
        <f>Painel!G5</f>
        <v/>
      </c>
    </row>
    <row r="6" ht="30" customHeight="1">
      <c r="A6" s="15" t="inlineStr">
        <is>
          <t>ID</t>
        </is>
      </c>
      <c r="B6" s="15" t="inlineStr">
        <is>
          <t>Macroetapa</t>
        </is>
      </c>
      <c r="C6" s="15" t="inlineStr">
        <is>
          <t>Atividade</t>
        </is>
      </c>
      <c r="D6" s="15" t="inlineStr">
        <is>
          <t>Trecho</t>
        </is>
      </c>
      <c r="E6" s="15" t="inlineStr">
        <is>
          <t>Predecessora</t>
        </is>
      </c>
      <c r="F6" s="15" t="inlineStr">
        <is>
          <t>Início planejado</t>
        </is>
      </c>
      <c r="G6" s="15" t="inlineStr">
        <is>
          <t>Fim planejado</t>
        </is>
      </c>
      <c r="H6" s="15" t="inlineStr">
        <is>
          <t>Dias úteis</t>
        </is>
      </c>
      <c r="I6" s="15" t="inlineStr">
        <is>
          <t>Peso físico</t>
        </is>
      </c>
      <c r="J6" s="15" t="inlineStr">
        <is>
          <t>% concluído</t>
        </is>
      </c>
      <c r="K6" s="15" t="inlineStr">
        <is>
          <t>Situação</t>
        </is>
      </c>
      <c r="L6" s="15" t="inlineStr">
        <is>
          <t>Início real</t>
        </is>
      </c>
      <c r="M6" s="15" t="inlineStr">
        <is>
          <t>Fim real</t>
        </is>
      </c>
      <c r="N6" s="15" t="inlineStr">
        <is>
          <t>Desvio (dias)</t>
        </is>
      </c>
      <c r="O6" s="15" t="inlineStr">
        <is>
          <t>Físico executado</t>
        </is>
      </c>
      <c r="P6" s="15" t="inlineStr">
        <is>
          <t>Observações</t>
        </is>
      </c>
      <c r="Q6" s="15" t="inlineStr">
        <is>
          <t>Conferência</t>
        </is>
      </c>
    </row>
    <row r="7">
      <c r="A7" s="4" t="n">
        <v>1</v>
      </c>
      <c r="B7" s="4" t="inlineStr">
        <is>
          <t>Mobilização e limpeza</t>
        </is>
      </c>
      <c r="C7" s="4" t="inlineStr">
        <is>
          <t>Mobilização, canteiro, sinalização e segurança</t>
        </is>
      </c>
      <c r="D7" s="4" t="inlineStr">
        <is>
          <t>Geral</t>
        </is>
      </c>
      <c r="E7" s="4" t="inlineStr">
        <is>
          <t>-</t>
        </is>
      </c>
      <c r="F7" s="25">
        <f>IF(Painel!$B$5="","",WORKDAY.INTL(Painel!$B$5-1,1,1))</f>
        <v/>
      </c>
      <c r="G7" s="25">
        <f>IF(Painel!$B$5="","",WORKDAY.INTL(Painel!$B$5-1,5,1))</f>
        <v/>
      </c>
      <c r="H7" s="4">
        <f>IF(OR(F7="",G7=""),"",NETWORKDAYS.INTL(F7,G7,1))</f>
        <v/>
      </c>
      <c r="I7" s="16" t="n">
        <v>0.02</v>
      </c>
      <c r="J7" s="16" t="n">
        <v>0</v>
      </c>
      <c r="K7" s="4" t="inlineStr">
        <is>
          <t>Não iniciada</t>
        </is>
      </c>
      <c r="L7" s="25" t="n"/>
      <c r="M7" s="25" t="n"/>
      <c r="N7" s="4">
        <f>IF(M7&lt;&gt;"",NETWORKDAYS.INTL(G7,M7,1)-1,IF(AND(G7&lt;&gt;"",TODAY()&gt;G7,K7&lt;&gt;"Concluída"),NETWORKDAYS.INTL(G7,TODAY(),1)-1,0))</f>
        <v/>
      </c>
      <c r="O7" s="16">
        <f>I7*J7</f>
        <v/>
      </c>
      <c r="P7" s="4" t="n"/>
      <c r="Q7" s="4">
        <f>IF(AND(K7="Concluída",J7&lt;1),"Atualizar %",IF(AND(J7=1,K7&lt;&gt;"Concluída"),"Marcar concluída",""))</f>
        <v/>
      </c>
    </row>
    <row r="8">
      <c r="A8" s="4" t="n">
        <v>2</v>
      </c>
      <c r="B8" s="4" t="inlineStr">
        <is>
          <t>Mobilização e limpeza</t>
        </is>
      </c>
      <c r="C8" s="4" t="inlineStr">
        <is>
          <t>Roçada e abertura dos acessos</t>
        </is>
      </c>
      <c r="D8" s="4" t="inlineStr">
        <is>
          <t>A</t>
        </is>
      </c>
      <c r="E8" s="4" t="inlineStr">
        <is>
          <t>1</t>
        </is>
      </c>
      <c r="F8" s="25">
        <f>IF(Painel!$B$5="","",WORKDAY.INTL(Painel!$B$5-1,1,1))</f>
        <v/>
      </c>
      <c r="G8" s="25">
        <f>IF(Painel!$B$5="","",WORKDAY.INTL(Painel!$B$5-1,10,1))</f>
        <v/>
      </c>
      <c r="H8" s="4">
        <f>IF(OR(F8="",G8=""),"",NETWORKDAYS.INTL(F8,G8,1))</f>
        <v/>
      </c>
      <c r="I8" s="16" t="n">
        <v>0.02</v>
      </c>
      <c r="J8" s="16" t="n">
        <v>0</v>
      </c>
      <c r="K8" s="4" t="inlineStr">
        <is>
          <t>Não iniciada</t>
        </is>
      </c>
      <c r="L8" s="25" t="n"/>
      <c r="M8" s="25" t="n"/>
      <c r="N8" s="4">
        <f>IF(M8&lt;&gt;"",NETWORKDAYS.INTL(G8,M8,1)-1,IF(AND(G8&lt;&gt;"",TODAY()&gt;G8,K8&lt;&gt;"Concluída"),NETWORKDAYS.INTL(G8,TODAY(),1)-1,0))</f>
        <v/>
      </c>
      <c r="O8" s="16">
        <f>I8*J8</f>
        <v/>
      </c>
      <c r="P8" s="4" t="n"/>
      <c r="Q8" s="4">
        <f>IF(AND(K8="Concluída",J8&lt;1),"Atualizar %",IF(AND(J8=1,K8&lt;&gt;"Concluída"),"Marcar concluída",""))</f>
        <v/>
      </c>
    </row>
    <row r="9">
      <c r="A9" s="4" t="n">
        <v>3</v>
      </c>
      <c r="B9" s="4" t="inlineStr">
        <is>
          <t>Mobilização e limpeza</t>
        </is>
      </c>
      <c r="C9" s="4" t="inlineStr">
        <is>
          <t>Roçada e preparação do barranco</t>
        </is>
      </c>
      <c r="D9" s="4" t="inlineStr">
        <is>
          <t>B</t>
        </is>
      </c>
      <c r="E9" s="4" t="inlineStr">
        <is>
          <t>1</t>
        </is>
      </c>
      <c r="F9" s="25">
        <f>IF(Painel!$B$5="","",WORKDAY.INTL(Painel!$B$5-1,6,1))</f>
        <v/>
      </c>
      <c r="G9" s="25">
        <f>IF(Painel!$B$5="","",WORKDAY.INTL(Painel!$B$5-1,10,1))</f>
        <v/>
      </c>
      <c r="H9" s="4">
        <f>IF(OR(F9="",G9=""),"",NETWORKDAYS.INTL(F9,G9,1))</f>
        <v/>
      </c>
      <c r="I9" s="16" t="n">
        <v>0.01</v>
      </c>
      <c r="J9" s="16" t="n">
        <v>0</v>
      </c>
      <c r="K9" s="4" t="inlineStr">
        <is>
          <t>Não iniciada</t>
        </is>
      </c>
      <c r="L9" s="25" t="n"/>
      <c r="M9" s="25" t="n"/>
      <c r="N9" s="4">
        <f>IF(M9&lt;&gt;"",NETWORKDAYS.INTL(G9,M9,1)-1,IF(AND(G9&lt;&gt;"",TODAY()&gt;G9,K9&lt;&gt;"Concluída"),NETWORKDAYS.INTL(G9,TODAY(),1)-1,0))</f>
        <v/>
      </c>
      <c r="O9" s="16">
        <f>I9*J9</f>
        <v/>
      </c>
      <c r="P9" s="4" t="n"/>
      <c r="Q9" s="4">
        <f>IF(AND(K9="Concluída",J9&lt;1),"Atualizar %",IF(AND(J9=1,K9&lt;&gt;"Concluída"),"Marcar concluída",""))</f>
        <v/>
      </c>
    </row>
    <row r="10">
      <c r="A10" s="4" t="n">
        <v>4</v>
      </c>
      <c r="B10" s="4" t="inlineStr">
        <is>
          <t>Mobilização e limpeza</t>
        </is>
      </c>
      <c r="C10" s="4" t="inlineStr">
        <is>
          <t>Limpeza e preparação da área</t>
        </is>
      </c>
      <c r="D10" s="4" t="inlineStr">
        <is>
          <t>C</t>
        </is>
      </c>
      <c r="E10" s="4" t="inlineStr">
        <is>
          <t>1</t>
        </is>
      </c>
      <c r="F10" s="25">
        <f>IF(Painel!$B$5="","",WORKDAY.INTL(Painel!$B$5-1,6,1))</f>
        <v/>
      </c>
      <c r="G10" s="25">
        <f>IF(Painel!$B$5="","",WORKDAY.INTL(Painel!$B$5-1,10,1))</f>
        <v/>
      </c>
      <c r="H10" s="4">
        <f>IF(OR(F10="",G10=""),"",NETWORKDAYS.INTL(F10,G10,1))</f>
        <v/>
      </c>
      <c r="I10" s="16" t="n">
        <v>0.01</v>
      </c>
      <c r="J10" s="16" t="n">
        <v>0</v>
      </c>
      <c r="K10" s="4" t="inlineStr">
        <is>
          <t>Não iniciada</t>
        </is>
      </c>
      <c r="L10" s="25" t="n"/>
      <c r="M10" s="25" t="n"/>
      <c r="N10" s="4">
        <f>IF(M10&lt;&gt;"",NETWORKDAYS.INTL(G10,M10,1)-1,IF(AND(G10&lt;&gt;"",TODAY()&gt;G10,K10&lt;&gt;"Concluída"),NETWORKDAYS.INTL(G10,TODAY(),1)-1,0))</f>
        <v/>
      </c>
      <c r="O10" s="16">
        <f>I10*J10</f>
        <v/>
      </c>
      <c r="P10" s="4" t="n"/>
      <c r="Q10" s="4">
        <f>IF(AND(K10="Concluída",J10&lt;1),"Atualizar %",IF(AND(J10=1,K10&lt;&gt;"Concluída"),"Marcar concluída",""))</f>
        <v/>
      </c>
    </row>
    <row r="11">
      <c r="A11" s="4" t="n">
        <v>5</v>
      </c>
      <c r="B11" s="4" t="inlineStr">
        <is>
          <t>Demolição</t>
        </is>
      </c>
      <c r="C11" s="4" t="inlineStr">
        <is>
          <t>Demolição controlada e retirada de fundações</t>
        </is>
      </c>
      <c r="D11" s="4" t="inlineStr">
        <is>
          <t>A</t>
        </is>
      </c>
      <c r="E11" s="4" t="inlineStr">
        <is>
          <t>2</t>
        </is>
      </c>
      <c r="F11" s="25">
        <f>IF(Painel!$B$5="","",WORKDAY.INTL(Painel!$B$5-1,6,1))</f>
        <v/>
      </c>
      <c r="G11" s="25">
        <f>IF(Painel!$B$5="","",WORKDAY.INTL(Painel!$B$5-1,25,1))</f>
        <v/>
      </c>
      <c r="H11" s="4">
        <f>IF(OR(F11="",G11=""),"",NETWORKDAYS.INTL(F11,G11,1))</f>
        <v/>
      </c>
      <c r="I11" s="16" t="n">
        <v>0.1</v>
      </c>
      <c r="J11" s="16" t="n">
        <v>0</v>
      </c>
      <c r="K11" s="4" t="inlineStr">
        <is>
          <t>Não iniciada</t>
        </is>
      </c>
      <c r="L11" s="25" t="n"/>
      <c r="M11" s="25" t="n"/>
      <c r="N11" s="4">
        <f>IF(M11&lt;&gt;"",NETWORKDAYS.INTL(G11,M11,1)-1,IF(AND(G11&lt;&gt;"",TODAY()&gt;G11,K11&lt;&gt;"Concluída"),NETWORKDAYS.INTL(G11,TODAY(),1)-1,0))</f>
        <v/>
      </c>
      <c r="O11" s="16">
        <f>I11*J11</f>
        <v/>
      </c>
      <c r="P11" s="4" t="n"/>
      <c r="Q11" s="4">
        <f>IF(AND(K11="Concluída",J11&lt;1),"Atualizar %",IF(AND(J11=1,K11&lt;&gt;"Concluída"),"Marcar concluída",""))</f>
        <v/>
      </c>
    </row>
    <row r="12">
      <c r="A12" s="4" t="n">
        <v>6</v>
      </c>
      <c r="B12" s="4" t="inlineStr">
        <is>
          <t>Demolição</t>
        </is>
      </c>
      <c r="C12" s="4" t="inlineStr">
        <is>
          <t>Demolição controlada e retirada de fundações</t>
        </is>
      </c>
      <c r="D12" s="4" t="inlineStr">
        <is>
          <t>B</t>
        </is>
      </c>
      <c r="E12" s="4" t="inlineStr">
        <is>
          <t>3</t>
        </is>
      </c>
      <c r="F12" s="25">
        <f>IF(Painel!$B$5="","",WORKDAY.INTL(Painel!$B$5-1,11,1))</f>
        <v/>
      </c>
      <c r="G12" s="25">
        <f>IF(Painel!$B$5="","",WORKDAY.INTL(Painel!$B$5-1,20,1))</f>
        <v/>
      </c>
      <c r="H12" s="4">
        <f>IF(OR(F12="",G12=""),"",NETWORKDAYS.INTL(F12,G12,1))</f>
        <v/>
      </c>
      <c r="I12" s="16" t="n">
        <v>0.03</v>
      </c>
      <c r="J12" s="16" t="n">
        <v>0</v>
      </c>
      <c r="K12" s="4" t="inlineStr">
        <is>
          <t>Não iniciada</t>
        </is>
      </c>
      <c r="L12" s="25" t="n"/>
      <c r="M12" s="25" t="n"/>
      <c r="N12" s="4">
        <f>IF(M12&lt;&gt;"",NETWORKDAYS.INTL(G12,M12,1)-1,IF(AND(G12&lt;&gt;"",TODAY()&gt;G12,K12&lt;&gt;"Concluída"),NETWORKDAYS.INTL(G12,TODAY(),1)-1,0))</f>
        <v/>
      </c>
      <c r="O12" s="16">
        <f>I12*J12</f>
        <v/>
      </c>
      <c r="P12" s="4" t="n"/>
      <c r="Q12" s="4">
        <f>IF(AND(K12="Concluída",J12&lt;1),"Atualizar %",IF(AND(J12=1,K12&lt;&gt;"Concluída"),"Marcar concluída",""))</f>
        <v/>
      </c>
    </row>
    <row r="13">
      <c r="A13" s="4" t="n">
        <v>7</v>
      </c>
      <c r="B13" s="4" t="inlineStr">
        <is>
          <t>Demolição</t>
        </is>
      </c>
      <c r="C13" s="4" t="inlineStr">
        <is>
          <t>Demolição controlada e retirada de fundações</t>
        </is>
      </c>
      <c r="D13" s="4" t="inlineStr">
        <is>
          <t>C</t>
        </is>
      </c>
      <c r="E13" s="4" t="inlineStr">
        <is>
          <t>4</t>
        </is>
      </c>
      <c r="F13" s="25">
        <f>IF(Painel!$B$5="","",WORKDAY.INTL(Painel!$B$5-1,11,1))</f>
        <v/>
      </c>
      <c r="G13" s="25">
        <f>IF(Painel!$B$5="","",WORKDAY.INTL(Painel!$B$5-1,20,1))</f>
        <v/>
      </c>
      <c r="H13" s="4">
        <f>IF(OR(F13="",G13=""),"",NETWORKDAYS.INTL(F13,G13,1))</f>
        <v/>
      </c>
      <c r="I13" s="16" t="n">
        <v>0.02</v>
      </c>
      <c r="J13" s="16" t="n">
        <v>0</v>
      </c>
      <c r="K13" s="4" t="inlineStr">
        <is>
          <t>Não iniciada</t>
        </is>
      </c>
      <c r="L13" s="25" t="n"/>
      <c r="M13" s="25" t="n"/>
      <c r="N13" s="4">
        <f>IF(M13&lt;&gt;"",NETWORKDAYS.INTL(G13,M13,1)-1,IF(AND(G13&lt;&gt;"",TODAY()&gt;G13,K13&lt;&gt;"Concluída"),NETWORKDAYS.INTL(G13,TODAY(),1)-1,0))</f>
        <v/>
      </c>
      <c r="O13" s="16">
        <f>I13*J13</f>
        <v/>
      </c>
      <c r="P13" s="4" t="n"/>
      <c r="Q13" s="4">
        <f>IF(AND(K13="Concluída",J13&lt;1),"Atualizar %",IF(AND(J13=1,K13&lt;&gt;"Concluída"),"Marcar concluída",""))</f>
        <v/>
      </c>
    </row>
    <row r="14">
      <c r="A14" s="4" t="n">
        <v>8</v>
      </c>
      <c r="B14" s="4" t="inlineStr">
        <is>
          <t>Fundações</t>
        </is>
      </c>
      <c r="C14" s="4" t="inlineStr">
        <is>
          <t>Locação, escavação, sapatas e baldrame</t>
        </is>
      </c>
      <c r="D14" s="4" t="inlineStr">
        <is>
          <t>A</t>
        </is>
      </c>
      <c r="E14" s="4" t="inlineStr">
        <is>
          <t>5</t>
        </is>
      </c>
      <c r="F14" s="25">
        <f>IF(Painel!$B$5="","",WORKDAY.INTL(Painel!$B$5-1,21,1))</f>
        <v/>
      </c>
      <c r="G14" s="25">
        <f>IF(Painel!$B$5="","",WORKDAY.INTL(Painel!$B$5-1,40,1))</f>
        <v/>
      </c>
      <c r="H14" s="4">
        <f>IF(OR(F14="",G14=""),"",NETWORKDAYS.INTL(F14,G14,1))</f>
        <v/>
      </c>
      <c r="I14" s="16" t="n">
        <v>0.14</v>
      </c>
      <c r="J14" s="16" t="n">
        <v>0</v>
      </c>
      <c r="K14" s="4" t="inlineStr">
        <is>
          <t>Não iniciada</t>
        </is>
      </c>
      <c r="L14" s="25" t="n"/>
      <c r="M14" s="25" t="n"/>
      <c r="N14" s="4">
        <f>IF(M14&lt;&gt;"",NETWORKDAYS.INTL(G14,M14,1)-1,IF(AND(G14&lt;&gt;"",TODAY()&gt;G14,K14&lt;&gt;"Concluída"),NETWORKDAYS.INTL(G14,TODAY(),1)-1,0))</f>
        <v/>
      </c>
      <c r="O14" s="16">
        <f>I14*J14</f>
        <v/>
      </c>
      <c r="P14" s="4" t="n"/>
      <c r="Q14" s="4">
        <f>IF(AND(K14="Concluída",J14&lt;1),"Atualizar %",IF(AND(J14=1,K14&lt;&gt;"Concluída"),"Marcar concluída",""))</f>
        <v/>
      </c>
    </row>
    <row r="15">
      <c r="A15" s="4" t="n">
        <v>9</v>
      </c>
      <c r="B15" s="4" t="inlineStr">
        <is>
          <t>Fundações</t>
        </is>
      </c>
      <c r="C15" s="4" t="inlineStr">
        <is>
          <t>Locação, escavação, sapatas e baldrame</t>
        </is>
      </c>
      <c r="D15" s="4" t="inlineStr">
        <is>
          <t>B</t>
        </is>
      </c>
      <c r="E15" s="4" t="inlineStr">
        <is>
          <t>6</t>
        </is>
      </c>
      <c r="F15" s="25">
        <f>IF(Painel!$B$5="","",WORKDAY.INTL(Painel!$B$5-1,26,1))</f>
        <v/>
      </c>
      <c r="G15" s="25">
        <f>IF(Painel!$B$5="","",WORKDAY.INTL(Painel!$B$5-1,40,1))</f>
        <v/>
      </c>
      <c r="H15" s="4">
        <f>IF(OR(F15="",G15=""),"",NETWORKDAYS.INTL(F15,G15,1))</f>
        <v/>
      </c>
      <c r="I15" s="16" t="n">
        <v>0.03</v>
      </c>
      <c r="J15" s="16" t="n">
        <v>0</v>
      </c>
      <c r="K15" s="4" t="inlineStr">
        <is>
          <t>Não iniciada</t>
        </is>
      </c>
      <c r="L15" s="25" t="n"/>
      <c r="M15" s="25" t="n"/>
      <c r="N15" s="4">
        <f>IF(M15&lt;&gt;"",NETWORKDAYS.INTL(G15,M15,1)-1,IF(AND(G15&lt;&gt;"",TODAY()&gt;G15,K15&lt;&gt;"Concluída"),NETWORKDAYS.INTL(G15,TODAY(),1)-1,0))</f>
        <v/>
      </c>
      <c r="O15" s="16">
        <f>I15*J15</f>
        <v/>
      </c>
      <c r="P15" s="4" t="n"/>
      <c r="Q15" s="4">
        <f>IF(AND(K15="Concluída",J15&lt;1),"Atualizar %",IF(AND(J15=1,K15&lt;&gt;"Concluída"),"Marcar concluída",""))</f>
        <v/>
      </c>
    </row>
    <row r="16">
      <c r="A16" s="4" t="n">
        <v>10</v>
      </c>
      <c r="B16" s="4" t="inlineStr">
        <is>
          <t>Fundações</t>
        </is>
      </c>
      <c r="C16" s="4" t="inlineStr">
        <is>
          <t>Locação, escavação, sapatas e baldrame</t>
        </is>
      </c>
      <c r="D16" s="4" t="inlineStr">
        <is>
          <t>C</t>
        </is>
      </c>
      <c r="E16" s="4" t="inlineStr">
        <is>
          <t>7</t>
        </is>
      </c>
      <c r="F16" s="25">
        <f>IF(Painel!$B$5="","",WORKDAY.INTL(Painel!$B$5-1,16,1))</f>
        <v/>
      </c>
      <c r="G16" s="25">
        <f>IF(Painel!$B$5="","",WORKDAY.INTL(Painel!$B$5-1,30,1))</f>
        <v/>
      </c>
      <c r="H16" s="4">
        <f>IF(OR(F16="",G16=""),"",NETWORKDAYS.INTL(F16,G16,1))</f>
        <v/>
      </c>
      <c r="I16" s="16" t="n">
        <v>0.03</v>
      </c>
      <c r="J16" s="16" t="n">
        <v>0</v>
      </c>
      <c r="K16" s="4" t="inlineStr">
        <is>
          <t>Não iniciada</t>
        </is>
      </c>
      <c r="L16" s="25" t="n"/>
      <c r="M16" s="25" t="n"/>
      <c r="N16" s="4">
        <f>IF(M16&lt;&gt;"",NETWORKDAYS.INTL(G16,M16,1)-1,IF(AND(G16&lt;&gt;"",TODAY()&gt;G16,K16&lt;&gt;"Concluída"),NETWORKDAYS.INTL(G16,TODAY(),1)-1,0))</f>
        <v/>
      </c>
      <c r="O16" s="16">
        <f>I16*J16</f>
        <v/>
      </c>
      <c r="P16" s="4" t="n"/>
      <c r="Q16" s="4">
        <f>IF(AND(K16="Concluída",J16&lt;1),"Atualizar %",IF(AND(J16=1,K16&lt;&gt;"Concluída"),"Marcar concluída",""))</f>
        <v/>
      </c>
    </row>
    <row r="17">
      <c r="A17" s="4" t="n">
        <v>11</v>
      </c>
      <c r="B17" s="4" t="inlineStr">
        <is>
          <t>Estrutura</t>
        </is>
      </c>
      <c r="C17" s="4" t="inlineStr">
        <is>
          <t>Pilares e vigas de concreto armado</t>
        </is>
      </c>
      <c r="D17" s="4" t="inlineStr">
        <is>
          <t>A</t>
        </is>
      </c>
      <c r="E17" s="4" t="inlineStr">
        <is>
          <t>8</t>
        </is>
      </c>
      <c r="F17" s="25">
        <f>IF(Painel!$B$5="","",WORKDAY.INTL(Painel!$B$5-1,31,1))</f>
        <v/>
      </c>
      <c r="G17" s="25">
        <f>IF(Painel!$B$5="","",WORKDAY.INTL(Painel!$B$5-1,60,1))</f>
        <v/>
      </c>
      <c r="H17" s="4">
        <f>IF(OR(F17="",G17=""),"",NETWORKDAYS.INTL(F17,G17,1))</f>
        <v/>
      </c>
      <c r="I17" s="16" t="n">
        <v>0.15</v>
      </c>
      <c r="J17" s="16" t="n">
        <v>0</v>
      </c>
      <c r="K17" s="4" t="inlineStr">
        <is>
          <t>Não iniciada</t>
        </is>
      </c>
      <c r="L17" s="25" t="n"/>
      <c r="M17" s="25" t="n"/>
      <c r="N17" s="4">
        <f>IF(M17&lt;&gt;"",NETWORKDAYS.INTL(G17,M17,1)-1,IF(AND(G17&lt;&gt;"",TODAY()&gt;G17,K17&lt;&gt;"Concluída"),NETWORKDAYS.INTL(G17,TODAY(),1)-1,0))</f>
        <v/>
      </c>
      <c r="O17" s="16">
        <f>I17*J17</f>
        <v/>
      </c>
      <c r="P17" s="4" t="n"/>
      <c r="Q17" s="4">
        <f>IF(AND(K17="Concluída",J17&lt;1),"Atualizar %",IF(AND(J17=1,K17&lt;&gt;"Concluída"),"Marcar concluída",""))</f>
        <v/>
      </c>
    </row>
    <row r="18">
      <c r="A18" s="4" t="n">
        <v>12</v>
      </c>
      <c r="B18" s="4" t="inlineStr">
        <is>
          <t>Estrutura</t>
        </is>
      </c>
      <c r="C18" s="4" t="inlineStr">
        <is>
          <t>Pilares e vigas de concreto armado</t>
        </is>
      </c>
      <c r="D18" s="4" t="inlineStr">
        <is>
          <t>B</t>
        </is>
      </c>
      <c r="E18" s="4" t="inlineStr">
        <is>
          <t>9</t>
        </is>
      </c>
      <c r="F18" s="25">
        <f>IF(Painel!$B$5="","",WORKDAY.INTL(Painel!$B$5-1,36,1))</f>
        <v/>
      </c>
      <c r="G18" s="25">
        <f>IF(Painel!$B$5="","",WORKDAY.INTL(Painel!$B$5-1,60,1))</f>
        <v/>
      </c>
      <c r="H18" s="4">
        <f>IF(OR(F18="",G18=""),"",NETWORKDAYS.INTL(F18,G18,1))</f>
        <v/>
      </c>
      <c r="I18" s="16" t="n">
        <v>0.04</v>
      </c>
      <c r="J18" s="16" t="n">
        <v>0</v>
      </c>
      <c r="K18" s="4" t="inlineStr">
        <is>
          <t>Não iniciada</t>
        </is>
      </c>
      <c r="L18" s="25" t="n"/>
      <c r="M18" s="25" t="n"/>
      <c r="N18" s="4">
        <f>IF(M18&lt;&gt;"",NETWORKDAYS.INTL(G18,M18,1)-1,IF(AND(G18&lt;&gt;"",TODAY()&gt;G18,K18&lt;&gt;"Concluída"),NETWORKDAYS.INTL(G18,TODAY(),1)-1,0))</f>
        <v/>
      </c>
      <c r="O18" s="16">
        <f>I18*J18</f>
        <v/>
      </c>
      <c r="P18" s="4" t="n"/>
      <c r="Q18" s="4">
        <f>IF(AND(K18="Concluída",J18&lt;1),"Atualizar %",IF(AND(J18=1,K18&lt;&gt;"Concluída"),"Marcar concluída",""))</f>
        <v/>
      </c>
    </row>
    <row r="19">
      <c r="A19" s="4" t="n">
        <v>13</v>
      </c>
      <c r="B19" s="4" t="inlineStr">
        <is>
          <t>Estrutura</t>
        </is>
      </c>
      <c r="C19" s="4" t="inlineStr">
        <is>
          <t>Pilares e vigas de concreto armado</t>
        </is>
      </c>
      <c r="D19" s="4" t="inlineStr">
        <is>
          <t>C</t>
        </is>
      </c>
      <c r="E19" s="4" t="inlineStr">
        <is>
          <t>10</t>
        </is>
      </c>
      <c r="F19" s="25">
        <f>IF(Painel!$B$5="","",WORKDAY.INTL(Painel!$B$5-1,26,1))</f>
        <v/>
      </c>
      <c r="G19" s="25">
        <f>IF(Painel!$B$5="","",WORKDAY.INTL(Painel!$B$5-1,50,1))</f>
        <v/>
      </c>
      <c r="H19" s="4">
        <f>IF(OR(F19="",G19=""),"",NETWORKDAYS.INTL(F19,G19,1))</f>
        <v/>
      </c>
      <c r="I19" s="16" t="n">
        <v>0.03</v>
      </c>
      <c r="J19" s="16" t="n">
        <v>0</v>
      </c>
      <c r="K19" s="4" t="inlineStr">
        <is>
          <t>Não iniciada</t>
        </is>
      </c>
      <c r="L19" s="25" t="n"/>
      <c r="M19" s="25" t="n"/>
      <c r="N19" s="4">
        <f>IF(M19&lt;&gt;"",NETWORKDAYS.INTL(G19,M19,1)-1,IF(AND(G19&lt;&gt;"",TODAY()&gt;G19,K19&lt;&gt;"Concluída"),NETWORKDAYS.INTL(G19,TODAY(),1)-1,0))</f>
        <v/>
      </c>
      <c r="O19" s="16">
        <f>I19*J19</f>
        <v/>
      </c>
      <c r="P19" s="4" t="n"/>
      <c r="Q19" s="4">
        <f>IF(AND(K19="Concluída",J19&lt;1),"Atualizar %",IF(AND(J19=1,K19&lt;&gt;"Concluída"),"Marcar concluída",""))</f>
        <v/>
      </c>
    </row>
    <row r="20">
      <c r="A20" s="4" t="n">
        <v>14</v>
      </c>
      <c r="B20" s="4" t="inlineStr">
        <is>
          <t>Alvenaria</t>
        </is>
      </c>
      <c r="C20" s="4" t="inlineStr">
        <is>
          <t>Alvenaria estrutural aparente</t>
        </is>
      </c>
      <c r="D20" s="4" t="inlineStr">
        <is>
          <t>A</t>
        </is>
      </c>
      <c r="E20" s="4" t="inlineStr">
        <is>
          <t>11</t>
        </is>
      </c>
      <c r="F20" s="25">
        <f>IF(Painel!$B$5="","",WORKDAY.INTL(Painel!$B$5-1,46,1))</f>
        <v/>
      </c>
      <c r="G20" s="25">
        <f>IF(Painel!$B$5="","",WORKDAY.INTL(Painel!$B$5-1,80,1))</f>
        <v/>
      </c>
      <c r="H20" s="4">
        <f>IF(OR(F20="",G20=""),"",NETWORKDAYS.INTL(F20,G20,1))</f>
        <v/>
      </c>
      <c r="I20" s="16" t="n">
        <v>0.17</v>
      </c>
      <c r="J20" s="16" t="n">
        <v>0</v>
      </c>
      <c r="K20" s="4" t="inlineStr">
        <is>
          <t>Não iniciada</t>
        </is>
      </c>
      <c r="L20" s="25" t="n"/>
      <c r="M20" s="25" t="n"/>
      <c r="N20" s="4">
        <f>IF(M20&lt;&gt;"",NETWORKDAYS.INTL(G20,M20,1)-1,IF(AND(G20&lt;&gt;"",TODAY()&gt;G20,K20&lt;&gt;"Concluída"),NETWORKDAYS.INTL(G20,TODAY(),1)-1,0))</f>
        <v/>
      </c>
      <c r="O20" s="16">
        <f>I20*J20</f>
        <v/>
      </c>
      <c r="P20" s="4" t="n"/>
      <c r="Q20" s="4">
        <f>IF(AND(K20="Concluída",J20&lt;1),"Atualizar %",IF(AND(J20=1,K20&lt;&gt;"Concluída"),"Marcar concluída",""))</f>
        <v/>
      </c>
    </row>
    <row r="21">
      <c r="A21" s="4" t="n">
        <v>15</v>
      </c>
      <c r="B21" s="4" t="inlineStr">
        <is>
          <t>Alvenaria</t>
        </is>
      </c>
      <c r="C21" s="4" t="inlineStr">
        <is>
          <t>Alvenaria estrutural aparente</t>
        </is>
      </c>
      <c r="D21" s="4" t="inlineStr">
        <is>
          <t>B</t>
        </is>
      </c>
      <c r="E21" s="4" t="inlineStr">
        <is>
          <t>12</t>
        </is>
      </c>
      <c r="F21" s="25">
        <f>IF(Painel!$B$5="","",WORKDAY.INTL(Painel!$B$5-1,51,1))</f>
        <v/>
      </c>
      <c r="G21" s="25">
        <f>IF(Painel!$B$5="","",WORKDAY.INTL(Painel!$B$5-1,75,1))</f>
        <v/>
      </c>
      <c r="H21" s="4">
        <f>IF(OR(F21="",G21=""),"",NETWORKDAYS.INTL(F21,G21,1))</f>
        <v/>
      </c>
      <c r="I21" s="16" t="n">
        <v>0.04</v>
      </c>
      <c r="J21" s="16" t="n">
        <v>0</v>
      </c>
      <c r="K21" s="4" t="inlineStr">
        <is>
          <t>Não iniciada</t>
        </is>
      </c>
      <c r="L21" s="25" t="n"/>
      <c r="M21" s="25" t="n"/>
      <c r="N21" s="4">
        <f>IF(M21&lt;&gt;"",NETWORKDAYS.INTL(G21,M21,1)-1,IF(AND(G21&lt;&gt;"",TODAY()&gt;G21,K21&lt;&gt;"Concluída"),NETWORKDAYS.INTL(G21,TODAY(),1)-1,0))</f>
        <v/>
      </c>
      <c r="O21" s="16">
        <f>I21*J21</f>
        <v/>
      </c>
      <c r="P21" s="4" t="n"/>
      <c r="Q21" s="4">
        <f>IF(AND(K21="Concluída",J21&lt;1),"Atualizar %",IF(AND(J21=1,K21&lt;&gt;"Concluída"),"Marcar concluída",""))</f>
        <v/>
      </c>
    </row>
    <row r="22">
      <c r="A22" s="4" t="n">
        <v>16</v>
      </c>
      <c r="B22" s="4" t="inlineStr">
        <is>
          <t>Alvenaria</t>
        </is>
      </c>
      <c r="C22" s="4" t="inlineStr">
        <is>
          <t>Alvenaria estrutural aparente</t>
        </is>
      </c>
      <c r="D22" s="4" t="inlineStr">
        <is>
          <t>C</t>
        </is>
      </c>
      <c r="E22" s="4" t="inlineStr">
        <is>
          <t>13</t>
        </is>
      </c>
      <c r="F22" s="25">
        <f>IF(Painel!$B$5="","",WORKDAY.INTL(Painel!$B$5-1,41,1))</f>
        <v/>
      </c>
      <c r="G22" s="25">
        <f>IF(Painel!$B$5="","",WORKDAY.INTL(Painel!$B$5-1,65,1))</f>
        <v/>
      </c>
      <c r="H22" s="4">
        <f>IF(OR(F22="",G22=""),"",NETWORKDAYS.INTL(F22,G22,1))</f>
        <v/>
      </c>
      <c r="I22" s="16" t="n">
        <v>0.04</v>
      </c>
      <c r="J22" s="16" t="n">
        <v>0</v>
      </c>
      <c r="K22" s="4" t="inlineStr">
        <is>
          <t>Não iniciada</t>
        </is>
      </c>
      <c r="L22" s="25" t="n"/>
      <c r="M22" s="25" t="n"/>
      <c r="N22" s="4">
        <f>IF(M22&lt;&gt;"",NETWORKDAYS.INTL(G22,M22,1)-1,IF(AND(G22&lt;&gt;"",TODAY()&gt;G22,K22&lt;&gt;"Concluída"),NETWORKDAYS.INTL(G22,TODAY(),1)-1,0))</f>
        <v/>
      </c>
      <c r="O22" s="16">
        <f>I22*J22</f>
        <v/>
      </c>
      <c r="P22" s="4" t="n"/>
      <c r="Q22" s="4">
        <f>IF(AND(K22="Concluída",J22&lt;1),"Atualizar %",IF(AND(J22=1,K22&lt;&gt;"Concluída"),"Marcar concluída",""))</f>
        <v/>
      </c>
    </row>
    <row r="23">
      <c r="A23" s="4" t="n">
        <v>17</v>
      </c>
      <c r="B23" s="4" t="inlineStr">
        <is>
          <t>Concertina</t>
        </is>
      </c>
      <c r="C23" s="4" t="inlineStr">
        <is>
          <t>Instalação da concertina</t>
        </is>
      </c>
      <c r="D23" s="4" t="inlineStr">
        <is>
          <t>A</t>
        </is>
      </c>
      <c r="E23" s="4" t="inlineStr">
        <is>
          <t>14</t>
        </is>
      </c>
      <c r="F23" s="25">
        <f>IF(Painel!$B$5="","",WORKDAY.INTL(Painel!$B$5-1,76,1))</f>
        <v/>
      </c>
      <c r="G23" s="25">
        <f>IF(Painel!$B$5="","",WORKDAY.INTL(Painel!$B$5-1,85,1))</f>
        <v/>
      </c>
      <c r="H23" s="4">
        <f>IF(OR(F23="",G23=""),"",NETWORKDAYS.INTL(F23,G23,1))</f>
        <v/>
      </c>
      <c r="I23" s="16" t="n">
        <v>0.03</v>
      </c>
      <c r="J23" s="16" t="n">
        <v>0</v>
      </c>
      <c r="K23" s="4" t="inlineStr">
        <is>
          <t>Não iniciada</t>
        </is>
      </c>
      <c r="L23" s="25" t="n"/>
      <c r="M23" s="25" t="n"/>
      <c r="N23" s="4">
        <f>IF(M23&lt;&gt;"",NETWORKDAYS.INTL(G23,M23,1)-1,IF(AND(G23&lt;&gt;"",TODAY()&gt;G23,K23&lt;&gt;"Concluída"),NETWORKDAYS.INTL(G23,TODAY(),1)-1,0))</f>
        <v/>
      </c>
      <c r="O23" s="16">
        <f>I23*J23</f>
        <v/>
      </c>
      <c r="P23" s="4" t="n"/>
      <c r="Q23" s="4">
        <f>IF(AND(K23="Concluída",J23&lt;1),"Atualizar %",IF(AND(J23=1,K23&lt;&gt;"Concluída"),"Marcar concluída",""))</f>
        <v/>
      </c>
    </row>
    <row r="24">
      <c r="A24" s="4" t="n">
        <v>18</v>
      </c>
      <c r="B24" s="4" t="inlineStr">
        <is>
          <t>Concertina</t>
        </is>
      </c>
      <c r="C24" s="4" t="inlineStr">
        <is>
          <t>Instalação da concertina</t>
        </is>
      </c>
      <c r="D24" s="4" t="inlineStr">
        <is>
          <t>B</t>
        </is>
      </c>
      <c r="E24" s="4" t="inlineStr">
        <is>
          <t>15</t>
        </is>
      </c>
      <c r="F24" s="25">
        <f>IF(Painel!$B$5="","",WORKDAY.INTL(Painel!$B$5-1,81,1))</f>
        <v/>
      </c>
      <c r="G24" s="25">
        <f>IF(Painel!$B$5="","",WORKDAY.INTL(Painel!$B$5-1,85,1))</f>
        <v/>
      </c>
      <c r="H24" s="4">
        <f>IF(OR(F24="",G24=""),"",NETWORKDAYS.INTL(F24,G24,1))</f>
        <v/>
      </c>
      <c r="I24" s="16" t="n">
        <v>0.01</v>
      </c>
      <c r="J24" s="16" t="n">
        <v>0</v>
      </c>
      <c r="K24" s="4" t="inlineStr">
        <is>
          <t>Não iniciada</t>
        </is>
      </c>
      <c r="L24" s="25" t="n"/>
      <c r="M24" s="25" t="n"/>
      <c r="N24" s="4">
        <f>IF(M24&lt;&gt;"",NETWORKDAYS.INTL(G24,M24,1)-1,IF(AND(G24&lt;&gt;"",TODAY()&gt;G24,K24&lt;&gt;"Concluída"),NETWORKDAYS.INTL(G24,TODAY(),1)-1,0))</f>
        <v/>
      </c>
      <c r="O24" s="16">
        <f>I24*J24</f>
        <v/>
      </c>
      <c r="P24" s="4" t="n"/>
      <c r="Q24" s="4">
        <f>IF(AND(K24="Concluída",J24&lt;1),"Atualizar %",IF(AND(J24=1,K24&lt;&gt;"Concluída"),"Marcar concluída",""))</f>
        <v/>
      </c>
    </row>
    <row r="25">
      <c r="A25" s="4" t="n">
        <v>19</v>
      </c>
      <c r="B25" s="4" t="inlineStr">
        <is>
          <t>Concertina</t>
        </is>
      </c>
      <c r="C25" s="4" t="inlineStr">
        <is>
          <t>Instalação da concertina</t>
        </is>
      </c>
      <c r="D25" s="4" t="inlineStr">
        <is>
          <t>C</t>
        </is>
      </c>
      <c r="E25" s="4" t="inlineStr">
        <is>
          <t>16</t>
        </is>
      </c>
      <c r="F25" s="25">
        <f>IF(Painel!$B$5="","",WORKDAY.INTL(Painel!$B$5-1,76,1))</f>
        <v/>
      </c>
      <c r="G25" s="25">
        <f>IF(Painel!$B$5="","",WORKDAY.INTL(Painel!$B$5-1,85,1))</f>
        <v/>
      </c>
      <c r="H25" s="4">
        <f>IF(OR(F25="",G25=""),"",NETWORKDAYS.INTL(F25,G25,1))</f>
        <v/>
      </c>
      <c r="I25" s="16" t="n">
        <v>0.01</v>
      </c>
      <c r="J25" s="16" t="n">
        <v>0</v>
      </c>
      <c r="K25" s="4" t="inlineStr">
        <is>
          <t>Não iniciada</t>
        </is>
      </c>
      <c r="L25" s="25" t="n"/>
      <c r="M25" s="25" t="n"/>
      <c r="N25" s="4">
        <f>IF(M25&lt;&gt;"",NETWORKDAYS.INTL(G25,M25,1)-1,IF(AND(G25&lt;&gt;"",TODAY()&gt;G25,K25&lt;&gt;"Concluída"),NETWORKDAYS.INTL(G25,TODAY(),1)-1,0))</f>
        <v/>
      </c>
      <c r="O25" s="16">
        <f>I25*J25</f>
        <v/>
      </c>
      <c r="P25" s="4" t="n"/>
      <c r="Q25" s="4">
        <f>IF(AND(K25="Concluída",J25&lt;1),"Atualizar %",IF(AND(J25=1,K25&lt;&gt;"Concluída"),"Marcar concluída",""))</f>
        <v/>
      </c>
    </row>
    <row r="26">
      <c r="A26" s="4" t="n">
        <v>20</v>
      </c>
      <c r="B26" s="4" t="inlineStr">
        <is>
          <t>Entrega</t>
        </is>
      </c>
      <c r="C26" s="4" t="inlineStr">
        <is>
          <t>Arremates e limpeza final</t>
        </is>
      </c>
      <c r="D26" s="4" t="inlineStr">
        <is>
          <t>Geral</t>
        </is>
      </c>
      <c r="E26" s="4" t="inlineStr">
        <is>
          <t>17, 18, 19</t>
        </is>
      </c>
      <c r="F26" s="25">
        <f>IF(Painel!$B$5="","",WORKDAY.INTL(Painel!$B$5-1,81,1))</f>
        <v/>
      </c>
      <c r="G26" s="25">
        <f>IF(Painel!$B$5="","",WORKDAY.INTL(Painel!$B$5-1,88,1))</f>
        <v/>
      </c>
      <c r="H26" s="4">
        <f>IF(OR(F26="",G26=""),"",NETWORKDAYS.INTL(F26,G26,1))</f>
        <v/>
      </c>
      <c r="I26" s="16" t="n">
        <v>0.04</v>
      </c>
      <c r="J26" s="16" t="n">
        <v>0</v>
      </c>
      <c r="K26" s="4" t="inlineStr">
        <is>
          <t>Não iniciada</t>
        </is>
      </c>
      <c r="L26" s="25" t="n"/>
      <c r="M26" s="25" t="n"/>
      <c r="N26" s="4">
        <f>IF(M26&lt;&gt;"",NETWORKDAYS.INTL(G26,M26,1)-1,IF(AND(G26&lt;&gt;"",TODAY()&gt;G26,K26&lt;&gt;"Concluída"),NETWORKDAYS.INTL(G26,TODAY(),1)-1,0))</f>
        <v/>
      </c>
      <c r="O26" s="16">
        <f>I26*J26</f>
        <v/>
      </c>
      <c r="P26" s="4" t="n"/>
      <c r="Q26" s="4">
        <f>IF(AND(K26="Concluída",J26&lt;1),"Atualizar %",IF(AND(J26=1,K26&lt;&gt;"Concluída"),"Marcar concluída",""))</f>
        <v/>
      </c>
    </row>
    <row r="27">
      <c r="A27" s="4" t="n">
        <v>21</v>
      </c>
      <c r="B27" s="4" t="inlineStr">
        <is>
          <t>Entrega</t>
        </is>
      </c>
      <c r="C27" s="4" t="inlineStr">
        <is>
          <t>Inspeção, correções e entrega técnica</t>
        </is>
      </c>
      <c r="D27" s="4" t="inlineStr">
        <is>
          <t>Geral</t>
        </is>
      </c>
      <c r="E27" s="4" t="inlineStr">
        <is>
          <t>20</t>
        </is>
      </c>
      <c r="F27" s="25">
        <f>IF(Painel!$B$5="","",WORKDAY.INTL(Painel!$B$5-1,89,1))</f>
        <v/>
      </c>
      <c r="G27" s="25">
        <f>IF(Painel!$B$5="","",WORKDAY.INTL(Painel!$B$5-1,90,1))</f>
        <v/>
      </c>
      <c r="H27" s="4">
        <f>IF(OR(F27="",G27=""),"",NETWORKDAYS.INTL(F27,G27,1))</f>
        <v/>
      </c>
      <c r="I27" s="16" t="n">
        <v>0.03</v>
      </c>
      <c r="J27" s="16" t="n">
        <v>0</v>
      </c>
      <c r="K27" s="4" t="inlineStr">
        <is>
          <t>Não iniciada</t>
        </is>
      </c>
      <c r="L27" s="25" t="n"/>
      <c r="M27" s="25" t="n"/>
      <c r="N27" s="4">
        <f>IF(M27&lt;&gt;"",NETWORKDAYS.INTL(G27,M27,1)-1,IF(AND(G27&lt;&gt;"",TODAY()&gt;G27,K27&lt;&gt;"Concluída"),NETWORKDAYS.INTL(G27,TODAY(),1)-1,0))</f>
        <v/>
      </c>
      <c r="O27" s="16">
        <f>I27*J27</f>
        <v/>
      </c>
      <c r="P27" s="4" t="n"/>
      <c r="Q27" s="4">
        <f>IF(AND(K27="Concluída",J27&lt;1),"Atualizar %",IF(AND(J27=1,K27&lt;&gt;"Concluída"),"Marcar concluída",""))</f>
        <v/>
      </c>
    </row>
  </sheetData>
  <autoFilter ref="A6:Q27"/>
  <mergeCells count="4">
    <mergeCell ref="A2:Q2"/>
    <mergeCell ref="A4:D4"/>
    <mergeCell ref="A1:Q1"/>
    <mergeCell ref="G4:J4"/>
  </mergeCells>
  <conditionalFormatting sqref="A7:Q27">
    <cfRule type="expression" priority="1" dxfId="0">
      <formula>$K7="Concluída"</formula>
    </cfRule>
    <cfRule type="expression" priority="2" dxfId="1">
      <formula>$K7="Suspensa"</formula>
    </cfRule>
  </conditionalFormatting>
  <conditionalFormatting sqref="N7:N27">
    <cfRule type="cellIs" priority="3" operator="greaterThan" dxfId="1">
      <formula>0</formula>
    </cfRule>
  </conditionalFormatting>
  <conditionalFormatting sqref="J7:J27">
    <cfRule type="colorScale" priority="4">
      <colorScale>
        <cfvo type="num" val="0"/>
        <cfvo type="num" val="0.5"/>
        <cfvo type="num" val="1"/>
        <color rgb="00FCE4D6"/>
        <color rgb="00FFD966"/>
        <color rgb="0070AD47"/>
      </colorScale>
    </cfRule>
  </conditionalFormatting>
  <dataValidations count="3">
    <dataValidation sqref="K7:K27" showDropDown="0" showInputMessage="0" showErrorMessage="0" allowBlank="1" errorTitle="Situação inválida" error="Escolha uma situação da lista." promptTitle="Situação" prompt="Selecione a situação atual." type="list">
      <formula1>"Não iniciada,Em andamento,Concluída,Suspensa"</formula1>
    </dataValidation>
    <dataValidation sqref="D7:D27" showDropDown="0" showInputMessage="0" showErrorMessage="0" allowBlank="0" type="list">
      <formula1>"Geral,A,B,C"</formula1>
    </dataValidation>
    <dataValidation sqref="J7:J27" showDropDown="0" showInputMessage="0" showErrorMessage="0" allowBlank="0" errorTitle="Percentual inválido" error="Informe um percentual entre 0% e 100%." type="decimal" operator="between">
      <formula1>0</formula1>
      <formula2>1</formula2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7" customWidth="1" min="3" max="3"/>
    <col width="17" customWidth="1" min="4" max="4"/>
    <col width="14" customWidth="1" min="5" max="5"/>
    <col width="16" customWidth="1" min="6" max="6"/>
    <col width="17" customWidth="1" min="7" max="7"/>
    <col width="18" customWidth="1" min="8" max="8"/>
    <col width="13" customWidth="1" min="9" max="9"/>
    <col width="35" customWidth="1" min="10" max="10"/>
  </cols>
  <sheetData>
    <row r="1" ht="30" customHeight="1">
      <c r="A1" s="1" t="inlineStr">
        <is>
          <t>CRONOGRAMA FINANCEIRO — RECEBIMENTOS</t>
        </is>
      </c>
    </row>
    <row r="2">
      <c r="A2" s="21" t="inlineStr">
        <is>
          <t>Atualize situação, data e valor efetivamente recebido. As datas previstas são calculadas a partir da data inicial do Painel.</t>
        </is>
      </c>
    </row>
    <row r="4">
      <c r="A4" s="22" t="inlineStr">
        <is>
          <t>Valor do contrato</t>
        </is>
      </c>
      <c r="C4" s="26">
        <f>Painel!B7</f>
        <v/>
      </c>
      <c r="E4" s="22" t="inlineStr">
        <is>
          <t>Total recebido</t>
        </is>
      </c>
      <c r="G4" s="26">
        <f>SUMIF(E7:E10,"Pago",G7:G10)</f>
        <v/>
      </c>
      <c r="I4" s="22" t="inlineStr">
        <is>
          <t>Saldo a receber</t>
        </is>
      </c>
      <c r="K4" s="26">
        <f>C4-G4</f>
        <v/>
      </c>
    </row>
    <row r="6" ht="30" customHeight="1">
      <c r="A6" s="15" t="inlineStr">
        <is>
          <t>Parcela</t>
        </is>
      </c>
      <c r="B6" s="15" t="inlineStr">
        <is>
          <t>Evento</t>
        </is>
      </c>
      <c r="C6" s="15" t="inlineStr">
        <is>
          <t>Vencimento previsto</t>
        </is>
      </c>
      <c r="D6" s="15" t="inlineStr">
        <is>
          <t>Valor previsto</t>
        </is>
      </c>
      <c r="E6" s="15" t="inlineStr">
        <is>
          <t>Situação</t>
        </is>
      </c>
      <c r="F6" s="15" t="inlineStr">
        <is>
          <t>Data recebida</t>
        </is>
      </c>
      <c r="G6" s="15" t="inlineStr">
        <is>
          <t>Valor recebido</t>
        </is>
      </c>
      <c r="H6" s="15" t="inlineStr">
        <is>
          <t>Documento/NF</t>
        </is>
      </c>
      <c r="I6" s="15" t="inlineStr">
        <is>
          <t>Dias de atraso</t>
        </is>
      </c>
      <c r="J6" s="15" t="inlineStr">
        <is>
          <t>Observações</t>
        </is>
      </c>
    </row>
    <row r="7">
      <c r="A7" s="4" t="inlineStr">
        <is>
          <t>Entrada</t>
        </is>
      </c>
      <c r="B7" s="4" t="inlineStr">
        <is>
          <t>Assinatura / mobilização</t>
        </is>
      </c>
      <c r="C7" s="25">
        <f>IF(Painel!$B$5="","",Painel!$B$5)</f>
        <v/>
      </c>
      <c r="D7" s="12" t="n">
        <v>50000</v>
      </c>
      <c r="E7" s="4" t="inlineStr">
        <is>
          <t>Pendente</t>
        </is>
      </c>
      <c r="F7" s="25" t="n"/>
      <c r="G7" s="12" t="n">
        <v>0</v>
      </c>
      <c r="H7" s="4" t="n"/>
      <c r="I7" s="4">
        <f>IF(OR(C7="",E7="Pago"),0,MAX(0,TODAY()-C7))</f>
        <v/>
      </c>
      <c r="J7" s="4" t="n"/>
    </row>
    <row r="8">
      <c r="A8" s="4" t="inlineStr">
        <is>
          <t>1ª parcela</t>
        </is>
      </c>
      <c r="B8" s="4" t="inlineStr">
        <is>
          <t>30 dias após o início</t>
        </is>
      </c>
      <c r="C8" s="25">
        <f>IF(Painel!$B$5="","",EDATE(Painel!$B$5,1))</f>
        <v/>
      </c>
      <c r="D8" s="12" t="n">
        <v>25000</v>
      </c>
      <c r="E8" s="4" t="inlineStr">
        <is>
          <t>Pendente</t>
        </is>
      </c>
      <c r="F8" s="25" t="n"/>
      <c r="G8" s="12" t="n">
        <v>0</v>
      </c>
      <c r="H8" s="4" t="n"/>
      <c r="I8" s="4">
        <f>IF(OR(C8="",E8="Pago"),0,MAX(0,TODAY()-C8))</f>
        <v/>
      </c>
      <c r="J8" s="4" t="n"/>
    </row>
    <row r="9">
      <c r="A9" s="4" t="inlineStr">
        <is>
          <t>2ª parcela</t>
        </is>
      </c>
      <c r="B9" s="4" t="inlineStr">
        <is>
          <t>60 dias após o início</t>
        </is>
      </c>
      <c r="C9" s="25">
        <f>IF(Painel!$B$5="","",EDATE(Painel!$B$5,2))</f>
        <v/>
      </c>
      <c r="D9" s="12" t="n">
        <v>25000</v>
      </c>
      <c r="E9" s="4" t="inlineStr">
        <is>
          <t>Pendente</t>
        </is>
      </c>
      <c r="F9" s="25" t="n"/>
      <c r="G9" s="12" t="n">
        <v>0</v>
      </c>
      <c r="H9" s="4" t="n"/>
      <c r="I9" s="4">
        <f>IF(OR(C9="",E9="Pago"),0,MAX(0,TODAY()-C9))</f>
        <v/>
      </c>
      <c r="J9" s="4" t="n"/>
    </row>
    <row r="10">
      <c r="A10" s="4" t="inlineStr">
        <is>
          <t>3ª parcela</t>
        </is>
      </c>
      <c r="B10" s="4" t="inlineStr">
        <is>
          <t>90 dias após o início</t>
        </is>
      </c>
      <c r="C10" s="25">
        <f>IF(Painel!$B$5="","",EDATE(Painel!$B$5,3))</f>
        <v/>
      </c>
      <c r="D10" s="12" t="n">
        <v>25000</v>
      </c>
      <c r="E10" s="4" t="inlineStr">
        <is>
          <t>Pendente</t>
        </is>
      </c>
      <c r="F10" s="25" t="n"/>
      <c r="G10" s="12" t="n">
        <v>0</v>
      </c>
      <c r="H10" s="4" t="n"/>
      <c r="I10" s="4">
        <f>IF(OR(C10="",E10="Pago"),0,MAX(0,TODAY()-C10))</f>
        <v/>
      </c>
      <c r="J10" s="4" t="n"/>
    </row>
  </sheetData>
  <mergeCells count="5">
    <mergeCell ref="A4:B4"/>
    <mergeCell ref="A1:J1"/>
    <mergeCell ref="E4:F4"/>
    <mergeCell ref="I4:J4"/>
    <mergeCell ref="A2:J2"/>
  </mergeCells>
  <conditionalFormatting sqref="A7:J10">
    <cfRule type="expression" priority="1" dxfId="0">
      <formula>$E7="Pago"</formula>
    </cfRule>
    <cfRule type="expression" priority="2" dxfId="1">
      <formula>$E7="Atrasado"</formula>
    </cfRule>
  </conditionalFormatting>
  <dataValidations count="1">
    <dataValidation sqref="E7:E10" showDropDown="0" showInputMessage="0" showErrorMessage="0" allowBlank="0" type="list">
      <formula1>"Pendente,Pago,Parcial,Atrasado"</formula1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5" customWidth="1" min="3" max="3"/>
    <col width="38" customWidth="1" min="4" max="4"/>
    <col width="18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  <col width="10" customWidth="1" min="11" max="11"/>
    <col width="35" customWidth="1" min="12" max="12"/>
  </cols>
  <sheetData>
    <row r="1" ht="30" customHeight="1">
      <c r="A1" s="1" t="inlineStr">
        <is>
          <t>CONTROLE DE DESPESAS E CUSTOS</t>
        </is>
      </c>
    </row>
    <row r="2">
      <c r="A2" s="21" t="inlineStr">
        <is>
          <t>Registre cada gasto individualmente. Não use a margem planejada como despesa. Anexe ou identifique o comprovante sempre que possível.</t>
        </is>
      </c>
    </row>
    <row r="4">
      <c r="A4" s="22" t="inlineStr">
        <is>
          <t>Orçamento de custos e reservas</t>
        </is>
      </c>
      <c r="C4" s="26" t="n">
        <v>113120</v>
      </c>
      <c r="E4" s="22" t="inlineStr">
        <is>
          <t>Despesas registradas</t>
        </is>
      </c>
      <c r="G4" s="26">
        <f>SUM(G7:G106)</f>
        <v/>
      </c>
      <c r="I4" s="22" t="inlineStr">
        <is>
          <t>Saldo do orçamento</t>
        </is>
      </c>
      <c r="K4" s="26">
        <f>C4-G4</f>
        <v/>
      </c>
    </row>
    <row r="6" ht="30" customHeight="1">
      <c r="A6" s="15" t="inlineStr">
        <is>
          <t>Data</t>
        </is>
      </c>
      <c r="B6" s="15" t="inlineStr">
        <is>
          <t>Categoria</t>
        </is>
      </c>
      <c r="C6" s="15" t="inlineStr">
        <is>
          <t>Fornecedor/MEI</t>
        </is>
      </c>
      <c r="D6" s="15" t="inlineStr">
        <is>
          <t>Descrição</t>
        </is>
      </c>
      <c r="E6" s="15" t="inlineStr">
        <is>
          <t>Documento/NF</t>
        </is>
      </c>
      <c r="F6" s="15" t="inlineStr">
        <is>
          <t>Valor previsto</t>
        </is>
      </c>
      <c r="G6" s="15" t="inlineStr">
        <is>
          <t>Valor realizado</t>
        </is>
      </c>
      <c r="H6" s="15" t="inlineStr">
        <is>
          <t>Situação</t>
        </is>
      </c>
      <c r="I6" s="15" t="inlineStr">
        <is>
          <t>Data pagamento</t>
        </is>
      </c>
      <c r="J6" s="15" t="inlineStr">
        <is>
          <t>Forma de pagamento</t>
        </is>
      </c>
      <c r="K6" s="15" t="inlineStr">
        <is>
          <t>Trecho</t>
        </is>
      </c>
      <c r="L6" s="15" t="inlineStr">
        <is>
          <t>Observações</t>
        </is>
      </c>
    </row>
    <row r="7">
      <c r="A7" s="25" t="n"/>
      <c r="B7" s="4" t="n"/>
      <c r="C7" s="4" t="n"/>
      <c r="D7" s="4" t="n"/>
      <c r="E7" s="4" t="n"/>
      <c r="F7" s="12" t="n"/>
      <c r="G7" s="12" t="n"/>
      <c r="H7" s="4" t="inlineStr">
        <is>
          <t>Pendente</t>
        </is>
      </c>
      <c r="I7" s="25" t="n"/>
      <c r="J7" s="4" t="n"/>
      <c r="K7" s="4" t="inlineStr">
        <is>
          <t>Geral</t>
        </is>
      </c>
      <c r="L7" s="4" t="n"/>
    </row>
    <row r="8">
      <c r="A8" s="25" t="n"/>
      <c r="B8" s="4" t="n"/>
      <c r="C8" s="4" t="n"/>
      <c r="D8" s="4" t="n"/>
      <c r="E8" s="4" t="n"/>
      <c r="F8" s="12" t="n"/>
      <c r="G8" s="12" t="n"/>
      <c r="H8" s="4" t="inlineStr">
        <is>
          <t>Pendente</t>
        </is>
      </c>
      <c r="I8" s="25" t="n"/>
      <c r="J8" s="4" t="n"/>
      <c r="K8" s="4" t="inlineStr">
        <is>
          <t>Geral</t>
        </is>
      </c>
      <c r="L8" s="4" t="n"/>
    </row>
    <row r="9">
      <c r="A9" s="25" t="n"/>
      <c r="B9" s="4" t="n"/>
      <c r="C9" s="4" t="n"/>
      <c r="D9" s="4" t="n"/>
      <c r="E9" s="4" t="n"/>
      <c r="F9" s="12" t="n"/>
      <c r="G9" s="12" t="n"/>
      <c r="H9" s="4" t="inlineStr">
        <is>
          <t>Pendente</t>
        </is>
      </c>
      <c r="I9" s="25" t="n"/>
      <c r="J9" s="4" t="n"/>
      <c r="K9" s="4" t="inlineStr">
        <is>
          <t>Geral</t>
        </is>
      </c>
      <c r="L9" s="4" t="n"/>
    </row>
    <row r="10">
      <c r="A10" s="25" t="n"/>
      <c r="B10" s="4" t="n"/>
      <c r="C10" s="4" t="n"/>
      <c r="D10" s="4" t="n"/>
      <c r="E10" s="4" t="n"/>
      <c r="F10" s="12" t="n"/>
      <c r="G10" s="12" t="n"/>
      <c r="H10" s="4" t="inlineStr">
        <is>
          <t>Pendente</t>
        </is>
      </c>
      <c r="I10" s="25" t="n"/>
      <c r="J10" s="4" t="n"/>
      <c r="K10" s="4" t="inlineStr">
        <is>
          <t>Geral</t>
        </is>
      </c>
      <c r="L10" s="4" t="n"/>
    </row>
    <row r="11">
      <c r="A11" s="25" t="n"/>
      <c r="B11" s="4" t="n"/>
      <c r="C11" s="4" t="n"/>
      <c r="D11" s="4" t="n"/>
      <c r="E11" s="4" t="n"/>
      <c r="F11" s="12" t="n"/>
      <c r="G11" s="12" t="n"/>
      <c r="H11" s="4" t="inlineStr">
        <is>
          <t>Pendente</t>
        </is>
      </c>
      <c r="I11" s="25" t="n"/>
      <c r="J11" s="4" t="n"/>
      <c r="K11" s="4" t="inlineStr">
        <is>
          <t>Geral</t>
        </is>
      </c>
      <c r="L11" s="4" t="n"/>
    </row>
    <row r="12">
      <c r="A12" s="25" t="n"/>
      <c r="B12" s="4" t="n"/>
      <c r="C12" s="4" t="n"/>
      <c r="D12" s="4" t="n"/>
      <c r="E12" s="4" t="n"/>
      <c r="F12" s="12" t="n"/>
      <c r="G12" s="12" t="n"/>
      <c r="H12" s="4" t="inlineStr">
        <is>
          <t>Pendente</t>
        </is>
      </c>
      <c r="I12" s="25" t="n"/>
      <c r="J12" s="4" t="n"/>
      <c r="K12" s="4" t="inlineStr">
        <is>
          <t>Geral</t>
        </is>
      </c>
      <c r="L12" s="4" t="n"/>
    </row>
    <row r="13">
      <c r="A13" s="25" t="n"/>
      <c r="B13" s="4" t="n"/>
      <c r="C13" s="4" t="n"/>
      <c r="D13" s="4" t="n"/>
      <c r="E13" s="4" t="n"/>
      <c r="F13" s="12" t="n"/>
      <c r="G13" s="12" t="n"/>
      <c r="H13" s="4" t="inlineStr">
        <is>
          <t>Pendente</t>
        </is>
      </c>
      <c r="I13" s="25" t="n"/>
      <c r="J13" s="4" t="n"/>
      <c r="K13" s="4" t="inlineStr">
        <is>
          <t>Geral</t>
        </is>
      </c>
      <c r="L13" s="4" t="n"/>
    </row>
    <row r="14">
      <c r="A14" s="25" t="n"/>
      <c r="B14" s="4" t="n"/>
      <c r="C14" s="4" t="n"/>
      <c r="D14" s="4" t="n"/>
      <c r="E14" s="4" t="n"/>
      <c r="F14" s="12" t="n"/>
      <c r="G14" s="12" t="n"/>
      <c r="H14" s="4" t="inlineStr">
        <is>
          <t>Pendente</t>
        </is>
      </c>
      <c r="I14" s="25" t="n"/>
      <c r="J14" s="4" t="n"/>
      <c r="K14" s="4" t="inlineStr">
        <is>
          <t>Geral</t>
        </is>
      </c>
      <c r="L14" s="4" t="n"/>
    </row>
    <row r="15">
      <c r="A15" s="25" t="n"/>
      <c r="B15" s="4" t="n"/>
      <c r="C15" s="4" t="n"/>
      <c r="D15" s="4" t="n"/>
      <c r="E15" s="4" t="n"/>
      <c r="F15" s="12" t="n"/>
      <c r="G15" s="12" t="n"/>
      <c r="H15" s="4" t="inlineStr">
        <is>
          <t>Pendente</t>
        </is>
      </c>
      <c r="I15" s="25" t="n"/>
      <c r="J15" s="4" t="n"/>
      <c r="K15" s="4" t="inlineStr">
        <is>
          <t>Geral</t>
        </is>
      </c>
      <c r="L15" s="4" t="n"/>
    </row>
    <row r="16">
      <c r="A16" s="25" t="n"/>
      <c r="B16" s="4" t="n"/>
      <c r="C16" s="4" t="n"/>
      <c r="D16" s="4" t="n"/>
      <c r="E16" s="4" t="n"/>
      <c r="F16" s="12" t="n"/>
      <c r="G16" s="12" t="n"/>
      <c r="H16" s="4" t="inlineStr">
        <is>
          <t>Pendente</t>
        </is>
      </c>
      <c r="I16" s="25" t="n"/>
      <c r="J16" s="4" t="n"/>
      <c r="K16" s="4" t="inlineStr">
        <is>
          <t>Geral</t>
        </is>
      </c>
      <c r="L16" s="4" t="n"/>
    </row>
    <row r="17">
      <c r="A17" s="25" t="n"/>
      <c r="B17" s="4" t="n"/>
      <c r="C17" s="4" t="n"/>
      <c r="D17" s="4" t="n"/>
      <c r="E17" s="4" t="n"/>
      <c r="F17" s="12" t="n"/>
      <c r="G17" s="12" t="n"/>
      <c r="H17" s="4" t="inlineStr">
        <is>
          <t>Pendente</t>
        </is>
      </c>
      <c r="I17" s="25" t="n"/>
      <c r="J17" s="4" t="n"/>
      <c r="K17" s="4" t="inlineStr">
        <is>
          <t>Geral</t>
        </is>
      </c>
      <c r="L17" s="4" t="n"/>
    </row>
    <row r="18">
      <c r="A18" s="25" t="n"/>
      <c r="B18" s="4" t="n"/>
      <c r="C18" s="4" t="n"/>
      <c r="D18" s="4" t="n"/>
      <c r="E18" s="4" t="n"/>
      <c r="F18" s="12" t="n"/>
      <c r="G18" s="12" t="n"/>
      <c r="H18" s="4" t="inlineStr">
        <is>
          <t>Pendente</t>
        </is>
      </c>
      <c r="I18" s="25" t="n"/>
      <c r="J18" s="4" t="n"/>
      <c r="K18" s="4" t="inlineStr">
        <is>
          <t>Geral</t>
        </is>
      </c>
      <c r="L18" s="4" t="n"/>
    </row>
    <row r="19">
      <c r="A19" s="25" t="n"/>
      <c r="B19" s="4" t="n"/>
      <c r="C19" s="4" t="n"/>
      <c r="D19" s="4" t="n"/>
      <c r="E19" s="4" t="n"/>
      <c r="F19" s="12" t="n"/>
      <c r="G19" s="12" t="n"/>
      <c r="H19" s="4" t="inlineStr">
        <is>
          <t>Pendente</t>
        </is>
      </c>
      <c r="I19" s="25" t="n"/>
      <c r="J19" s="4" t="n"/>
      <c r="K19" s="4" t="inlineStr">
        <is>
          <t>Geral</t>
        </is>
      </c>
      <c r="L19" s="4" t="n"/>
    </row>
    <row r="20">
      <c r="A20" s="25" t="n"/>
      <c r="B20" s="4" t="n"/>
      <c r="C20" s="4" t="n"/>
      <c r="D20" s="4" t="n"/>
      <c r="E20" s="4" t="n"/>
      <c r="F20" s="12" t="n"/>
      <c r="G20" s="12" t="n"/>
      <c r="H20" s="4" t="inlineStr">
        <is>
          <t>Pendente</t>
        </is>
      </c>
      <c r="I20" s="25" t="n"/>
      <c r="J20" s="4" t="n"/>
      <c r="K20" s="4" t="inlineStr">
        <is>
          <t>Geral</t>
        </is>
      </c>
      <c r="L20" s="4" t="n"/>
    </row>
    <row r="21">
      <c r="A21" s="25" t="n"/>
      <c r="B21" s="4" t="n"/>
      <c r="C21" s="4" t="n"/>
      <c r="D21" s="4" t="n"/>
      <c r="E21" s="4" t="n"/>
      <c r="F21" s="12" t="n"/>
      <c r="G21" s="12" t="n"/>
      <c r="H21" s="4" t="inlineStr">
        <is>
          <t>Pendente</t>
        </is>
      </c>
      <c r="I21" s="25" t="n"/>
      <c r="J21" s="4" t="n"/>
      <c r="K21" s="4" t="inlineStr">
        <is>
          <t>Geral</t>
        </is>
      </c>
      <c r="L21" s="4" t="n"/>
    </row>
    <row r="22">
      <c r="A22" s="25" t="n"/>
      <c r="B22" s="4" t="n"/>
      <c r="C22" s="4" t="n"/>
      <c r="D22" s="4" t="n"/>
      <c r="E22" s="4" t="n"/>
      <c r="F22" s="12" t="n"/>
      <c r="G22" s="12" t="n"/>
      <c r="H22" s="4" t="inlineStr">
        <is>
          <t>Pendente</t>
        </is>
      </c>
      <c r="I22" s="25" t="n"/>
      <c r="J22" s="4" t="n"/>
      <c r="K22" s="4" t="inlineStr">
        <is>
          <t>Geral</t>
        </is>
      </c>
      <c r="L22" s="4" t="n"/>
    </row>
    <row r="23">
      <c r="A23" s="25" t="n"/>
      <c r="B23" s="4" t="n"/>
      <c r="C23" s="4" t="n"/>
      <c r="D23" s="4" t="n"/>
      <c r="E23" s="4" t="n"/>
      <c r="F23" s="12" t="n"/>
      <c r="G23" s="12" t="n"/>
      <c r="H23" s="4" t="inlineStr">
        <is>
          <t>Pendente</t>
        </is>
      </c>
      <c r="I23" s="25" t="n"/>
      <c r="J23" s="4" t="n"/>
      <c r="K23" s="4" t="inlineStr">
        <is>
          <t>Geral</t>
        </is>
      </c>
      <c r="L23" s="4" t="n"/>
    </row>
    <row r="24">
      <c r="A24" s="25" t="n"/>
      <c r="B24" s="4" t="n"/>
      <c r="C24" s="4" t="n"/>
      <c r="D24" s="4" t="n"/>
      <c r="E24" s="4" t="n"/>
      <c r="F24" s="12" t="n"/>
      <c r="G24" s="12" t="n"/>
      <c r="H24" s="4" t="inlineStr">
        <is>
          <t>Pendente</t>
        </is>
      </c>
      <c r="I24" s="25" t="n"/>
      <c r="J24" s="4" t="n"/>
      <c r="K24" s="4" t="inlineStr">
        <is>
          <t>Geral</t>
        </is>
      </c>
      <c r="L24" s="4" t="n"/>
    </row>
    <row r="25">
      <c r="A25" s="25" t="n"/>
      <c r="B25" s="4" t="n"/>
      <c r="C25" s="4" t="n"/>
      <c r="D25" s="4" t="n"/>
      <c r="E25" s="4" t="n"/>
      <c r="F25" s="12" t="n"/>
      <c r="G25" s="12" t="n"/>
      <c r="H25" s="4" t="inlineStr">
        <is>
          <t>Pendente</t>
        </is>
      </c>
      <c r="I25" s="25" t="n"/>
      <c r="J25" s="4" t="n"/>
      <c r="K25" s="4" t="inlineStr">
        <is>
          <t>Geral</t>
        </is>
      </c>
      <c r="L25" s="4" t="n"/>
    </row>
    <row r="26">
      <c r="A26" s="25" t="n"/>
      <c r="B26" s="4" t="n"/>
      <c r="C26" s="4" t="n"/>
      <c r="D26" s="4" t="n"/>
      <c r="E26" s="4" t="n"/>
      <c r="F26" s="12" t="n"/>
      <c r="G26" s="12" t="n"/>
      <c r="H26" s="4" t="inlineStr">
        <is>
          <t>Pendente</t>
        </is>
      </c>
      <c r="I26" s="25" t="n"/>
      <c r="J26" s="4" t="n"/>
      <c r="K26" s="4" t="inlineStr">
        <is>
          <t>Geral</t>
        </is>
      </c>
      <c r="L26" s="4" t="n"/>
    </row>
    <row r="27">
      <c r="A27" s="25" t="n"/>
      <c r="B27" s="4" t="n"/>
      <c r="C27" s="4" t="n"/>
      <c r="D27" s="4" t="n"/>
      <c r="E27" s="4" t="n"/>
      <c r="F27" s="12" t="n"/>
      <c r="G27" s="12" t="n"/>
      <c r="H27" s="4" t="inlineStr">
        <is>
          <t>Pendente</t>
        </is>
      </c>
      <c r="I27" s="25" t="n"/>
      <c r="J27" s="4" t="n"/>
      <c r="K27" s="4" t="inlineStr">
        <is>
          <t>Geral</t>
        </is>
      </c>
      <c r="L27" s="4" t="n"/>
    </row>
    <row r="28">
      <c r="A28" s="25" t="n"/>
      <c r="B28" s="4" t="n"/>
      <c r="C28" s="4" t="n"/>
      <c r="D28" s="4" t="n"/>
      <c r="E28" s="4" t="n"/>
      <c r="F28" s="12" t="n"/>
      <c r="G28" s="12" t="n"/>
      <c r="H28" s="4" t="inlineStr">
        <is>
          <t>Pendente</t>
        </is>
      </c>
      <c r="I28" s="25" t="n"/>
      <c r="J28" s="4" t="n"/>
      <c r="K28" s="4" t="inlineStr">
        <is>
          <t>Geral</t>
        </is>
      </c>
      <c r="L28" s="4" t="n"/>
    </row>
    <row r="29">
      <c r="A29" s="25" t="n"/>
      <c r="B29" s="4" t="n"/>
      <c r="C29" s="4" t="n"/>
      <c r="D29" s="4" t="n"/>
      <c r="E29" s="4" t="n"/>
      <c r="F29" s="12" t="n"/>
      <c r="G29" s="12" t="n"/>
      <c r="H29" s="4" t="inlineStr">
        <is>
          <t>Pendente</t>
        </is>
      </c>
      <c r="I29" s="25" t="n"/>
      <c r="J29" s="4" t="n"/>
      <c r="K29" s="4" t="inlineStr">
        <is>
          <t>Geral</t>
        </is>
      </c>
      <c r="L29" s="4" t="n"/>
    </row>
    <row r="30">
      <c r="A30" s="25" t="n"/>
      <c r="B30" s="4" t="n"/>
      <c r="C30" s="4" t="n"/>
      <c r="D30" s="4" t="n"/>
      <c r="E30" s="4" t="n"/>
      <c r="F30" s="12" t="n"/>
      <c r="G30" s="12" t="n"/>
      <c r="H30" s="4" t="inlineStr">
        <is>
          <t>Pendente</t>
        </is>
      </c>
      <c r="I30" s="25" t="n"/>
      <c r="J30" s="4" t="n"/>
      <c r="K30" s="4" t="inlineStr">
        <is>
          <t>Geral</t>
        </is>
      </c>
      <c r="L30" s="4" t="n"/>
    </row>
    <row r="31">
      <c r="A31" s="25" t="n"/>
      <c r="B31" s="4" t="n"/>
      <c r="C31" s="4" t="n"/>
      <c r="D31" s="4" t="n"/>
      <c r="E31" s="4" t="n"/>
      <c r="F31" s="12" t="n"/>
      <c r="G31" s="12" t="n"/>
      <c r="H31" s="4" t="inlineStr">
        <is>
          <t>Pendente</t>
        </is>
      </c>
      <c r="I31" s="25" t="n"/>
      <c r="J31" s="4" t="n"/>
      <c r="K31" s="4" t="inlineStr">
        <is>
          <t>Geral</t>
        </is>
      </c>
      <c r="L31" s="4" t="n"/>
    </row>
    <row r="32">
      <c r="A32" s="25" t="n"/>
      <c r="B32" s="4" t="n"/>
      <c r="C32" s="4" t="n"/>
      <c r="D32" s="4" t="n"/>
      <c r="E32" s="4" t="n"/>
      <c r="F32" s="12" t="n"/>
      <c r="G32" s="12" t="n"/>
      <c r="H32" s="4" t="inlineStr">
        <is>
          <t>Pendente</t>
        </is>
      </c>
      <c r="I32" s="25" t="n"/>
      <c r="J32" s="4" t="n"/>
      <c r="K32" s="4" t="inlineStr">
        <is>
          <t>Geral</t>
        </is>
      </c>
      <c r="L32" s="4" t="n"/>
    </row>
    <row r="33">
      <c r="A33" s="25" t="n"/>
      <c r="B33" s="4" t="n"/>
      <c r="C33" s="4" t="n"/>
      <c r="D33" s="4" t="n"/>
      <c r="E33" s="4" t="n"/>
      <c r="F33" s="12" t="n"/>
      <c r="G33" s="12" t="n"/>
      <c r="H33" s="4" t="inlineStr">
        <is>
          <t>Pendente</t>
        </is>
      </c>
      <c r="I33" s="25" t="n"/>
      <c r="J33" s="4" t="n"/>
      <c r="K33" s="4" t="inlineStr">
        <is>
          <t>Geral</t>
        </is>
      </c>
      <c r="L33" s="4" t="n"/>
    </row>
    <row r="34">
      <c r="A34" s="25" t="n"/>
      <c r="B34" s="4" t="n"/>
      <c r="C34" s="4" t="n"/>
      <c r="D34" s="4" t="n"/>
      <c r="E34" s="4" t="n"/>
      <c r="F34" s="12" t="n"/>
      <c r="G34" s="12" t="n"/>
      <c r="H34" s="4" t="inlineStr">
        <is>
          <t>Pendente</t>
        </is>
      </c>
      <c r="I34" s="25" t="n"/>
      <c r="J34" s="4" t="n"/>
      <c r="K34" s="4" t="inlineStr">
        <is>
          <t>Geral</t>
        </is>
      </c>
      <c r="L34" s="4" t="n"/>
    </row>
    <row r="35">
      <c r="A35" s="25" t="n"/>
      <c r="B35" s="4" t="n"/>
      <c r="C35" s="4" t="n"/>
      <c r="D35" s="4" t="n"/>
      <c r="E35" s="4" t="n"/>
      <c r="F35" s="12" t="n"/>
      <c r="G35" s="12" t="n"/>
      <c r="H35" s="4" t="inlineStr">
        <is>
          <t>Pendente</t>
        </is>
      </c>
      <c r="I35" s="25" t="n"/>
      <c r="J35" s="4" t="n"/>
      <c r="K35" s="4" t="inlineStr">
        <is>
          <t>Geral</t>
        </is>
      </c>
      <c r="L35" s="4" t="n"/>
    </row>
    <row r="36">
      <c r="A36" s="25" t="n"/>
      <c r="B36" s="4" t="n"/>
      <c r="C36" s="4" t="n"/>
      <c r="D36" s="4" t="n"/>
      <c r="E36" s="4" t="n"/>
      <c r="F36" s="12" t="n"/>
      <c r="G36" s="12" t="n"/>
      <c r="H36" s="4" t="inlineStr">
        <is>
          <t>Pendente</t>
        </is>
      </c>
      <c r="I36" s="25" t="n"/>
      <c r="J36" s="4" t="n"/>
      <c r="K36" s="4" t="inlineStr">
        <is>
          <t>Geral</t>
        </is>
      </c>
      <c r="L36" s="4" t="n"/>
    </row>
    <row r="37">
      <c r="A37" s="25" t="n"/>
      <c r="B37" s="4" t="n"/>
      <c r="C37" s="4" t="n"/>
      <c r="D37" s="4" t="n"/>
      <c r="E37" s="4" t="n"/>
      <c r="F37" s="12" t="n"/>
      <c r="G37" s="12" t="n"/>
      <c r="H37" s="4" t="inlineStr">
        <is>
          <t>Pendente</t>
        </is>
      </c>
      <c r="I37" s="25" t="n"/>
      <c r="J37" s="4" t="n"/>
      <c r="K37" s="4" t="inlineStr">
        <is>
          <t>Geral</t>
        </is>
      </c>
      <c r="L37" s="4" t="n"/>
    </row>
    <row r="38">
      <c r="A38" s="25" t="n"/>
      <c r="B38" s="4" t="n"/>
      <c r="C38" s="4" t="n"/>
      <c r="D38" s="4" t="n"/>
      <c r="E38" s="4" t="n"/>
      <c r="F38" s="12" t="n"/>
      <c r="G38" s="12" t="n"/>
      <c r="H38" s="4" t="inlineStr">
        <is>
          <t>Pendente</t>
        </is>
      </c>
      <c r="I38" s="25" t="n"/>
      <c r="J38" s="4" t="n"/>
      <c r="K38" s="4" t="inlineStr">
        <is>
          <t>Geral</t>
        </is>
      </c>
      <c r="L38" s="4" t="n"/>
    </row>
    <row r="39">
      <c r="A39" s="25" t="n"/>
      <c r="B39" s="4" t="n"/>
      <c r="C39" s="4" t="n"/>
      <c r="D39" s="4" t="n"/>
      <c r="E39" s="4" t="n"/>
      <c r="F39" s="12" t="n"/>
      <c r="G39" s="12" t="n"/>
      <c r="H39" s="4" t="inlineStr">
        <is>
          <t>Pendente</t>
        </is>
      </c>
      <c r="I39" s="25" t="n"/>
      <c r="J39" s="4" t="n"/>
      <c r="K39" s="4" t="inlineStr">
        <is>
          <t>Geral</t>
        </is>
      </c>
      <c r="L39" s="4" t="n"/>
    </row>
    <row r="40">
      <c r="A40" s="25" t="n"/>
      <c r="B40" s="4" t="n"/>
      <c r="C40" s="4" t="n"/>
      <c r="D40" s="4" t="n"/>
      <c r="E40" s="4" t="n"/>
      <c r="F40" s="12" t="n"/>
      <c r="G40" s="12" t="n"/>
      <c r="H40" s="4" t="inlineStr">
        <is>
          <t>Pendente</t>
        </is>
      </c>
      <c r="I40" s="25" t="n"/>
      <c r="J40" s="4" t="n"/>
      <c r="K40" s="4" t="inlineStr">
        <is>
          <t>Geral</t>
        </is>
      </c>
      <c r="L40" s="4" t="n"/>
    </row>
    <row r="41">
      <c r="A41" s="25" t="n"/>
      <c r="B41" s="4" t="n"/>
      <c r="C41" s="4" t="n"/>
      <c r="D41" s="4" t="n"/>
      <c r="E41" s="4" t="n"/>
      <c r="F41" s="12" t="n"/>
      <c r="G41" s="12" t="n"/>
      <c r="H41" s="4" t="inlineStr">
        <is>
          <t>Pendente</t>
        </is>
      </c>
      <c r="I41" s="25" t="n"/>
      <c r="J41" s="4" t="n"/>
      <c r="K41" s="4" t="inlineStr">
        <is>
          <t>Geral</t>
        </is>
      </c>
      <c r="L41" s="4" t="n"/>
    </row>
    <row r="42">
      <c r="A42" s="25" t="n"/>
      <c r="B42" s="4" t="n"/>
      <c r="C42" s="4" t="n"/>
      <c r="D42" s="4" t="n"/>
      <c r="E42" s="4" t="n"/>
      <c r="F42" s="12" t="n"/>
      <c r="G42" s="12" t="n"/>
      <c r="H42" s="4" t="inlineStr">
        <is>
          <t>Pendente</t>
        </is>
      </c>
      <c r="I42" s="25" t="n"/>
      <c r="J42" s="4" t="n"/>
      <c r="K42" s="4" t="inlineStr">
        <is>
          <t>Geral</t>
        </is>
      </c>
      <c r="L42" s="4" t="n"/>
    </row>
    <row r="43">
      <c r="A43" s="25" t="n"/>
      <c r="B43" s="4" t="n"/>
      <c r="C43" s="4" t="n"/>
      <c r="D43" s="4" t="n"/>
      <c r="E43" s="4" t="n"/>
      <c r="F43" s="12" t="n"/>
      <c r="G43" s="12" t="n"/>
      <c r="H43" s="4" t="inlineStr">
        <is>
          <t>Pendente</t>
        </is>
      </c>
      <c r="I43" s="25" t="n"/>
      <c r="J43" s="4" t="n"/>
      <c r="K43" s="4" t="inlineStr">
        <is>
          <t>Geral</t>
        </is>
      </c>
      <c r="L43" s="4" t="n"/>
    </row>
    <row r="44">
      <c r="A44" s="25" t="n"/>
      <c r="B44" s="4" t="n"/>
      <c r="C44" s="4" t="n"/>
      <c r="D44" s="4" t="n"/>
      <c r="E44" s="4" t="n"/>
      <c r="F44" s="12" t="n"/>
      <c r="G44" s="12" t="n"/>
      <c r="H44" s="4" t="inlineStr">
        <is>
          <t>Pendente</t>
        </is>
      </c>
      <c r="I44" s="25" t="n"/>
      <c r="J44" s="4" t="n"/>
      <c r="K44" s="4" t="inlineStr">
        <is>
          <t>Geral</t>
        </is>
      </c>
      <c r="L44" s="4" t="n"/>
    </row>
    <row r="45">
      <c r="A45" s="25" t="n"/>
      <c r="B45" s="4" t="n"/>
      <c r="C45" s="4" t="n"/>
      <c r="D45" s="4" t="n"/>
      <c r="E45" s="4" t="n"/>
      <c r="F45" s="12" t="n"/>
      <c r="G45" s="12" t="n"/>
      <c r="H45" s="4" t="inlineStr">
        <is>
          <t>Pendente</t>
        </is>
      </c>
      <c r="I45" s="25" t="n"/>
      <c r="J45" s="4" t="n"/>
      <c r="K45" s="4" t="inlineStr">
        <is>
          <t>Geral</t>
        </is>
      </c>
      <c r="L45" s="4" t="n"/>
    </row>
    <row r="46">
      <c r="A46" s="25" t="n"/>
      <c r="B46" s="4" t="n"/>
      <c r="C46" s="4" t="n"/>
      <c r="D46" s="4" t="n"/>
      <c r="E46" s="4" t="n"/>
      <c r="F46" s="12" t="n"/>
      <c r="G46" s="12" t="n"/>
      <c r="H46" s="4" t="inlineStr">
        <is>
          <t>Pendente</t>
        </is>
      </c>
      <c r="I46" s="25" t="n"/>
      <c r="J46" s="4" t="n"/>
      <c r="K46" s="4" t="inlineStr">
        <is>
          <t>Geral</t>
        </is>
      </c>
      <c r="L46" s="4" t="n"/>
    </row>
    <row r="47">
      <c r="A47" s="25" t="n"/>
      <c r="B47" s="4" t="n"/>
      <c r="C47" s="4" t="n"/>
      <c r="D47" s="4" t="n"/>
      <c r="E47" s="4" t="n"/>
      <c r="F47" s="12" t="n"/>
      <c r="G47" s="12" t="n"/>
      <c r="H47" s="4" t="inlineStr">
        <is>
          <t>Pendente</t>
        </is>
      </c>
      <c r="I47" s="25" t="n"/>
      <c r="J47" s="4" t="n"/>
      <c r="K47" s="4" t="inlineStr">
        <is>
          <t>Geral</t>
        </is>
      </c>
      <c r="L47" s="4" t="n"/>
    </row>
    <row r="48">
      <c r="A48" s="25" t="n"/>
      <c r="B48" s="4" t="n"/>
      <c r="C48" s="4" t="n"/>
      <c r="D48" s="4" t="n"/>
      <c r="E48" s="4" t="n"/>
      <c r="F48" s="12" t="n"/>
      <c r="G48" s="12" t="n"/>
      <c r="H48" s="4" t="inlineStr">
        <is>
          <t>Pendente</t>
        </is>
      </c>
      <c r="I48" s="25" t="n"/>
      <c r="J48" s="4" t="n"/>
      <c r="K48" s="4" t="inlineStr">
        <is>
          <t>Geral</t>
        </is>
      </c>
      <c r="L48" s="4" t="n"/>
    </row>
    <row r="49">
      <c r="A49" s="25" t="n"/>
      <c r="B49" s="4" t="n"/>
      <c r="C49" s="4" t="n"/>
      <c r="D49" s="4" t="n"/>
      <c r="E49" s="4" t="n"/>
      <c r="F49" s="12" t="n"/>
      <c r="G49" s="12" t="n"/>
      <c r="H49" s="4" t="inlineStr">
        <is>
          <t>Pendente</t>
        </is>
      </c>
      <c r="I49" s="25" t="n"/>
      <c r="J49" s="4" t="n"/>
      <c r="K49" s="4" t="inlineStr">
        <is>
          <t>Geral</t>
        </is>
      </c>
      <c r="L49" s="4" t="n"/>
    </row>
    <row r="50">
      <c r="A50" s="25" t="n"/>
      <c r="B50" s="4" t="n"/>
      <c r="C50" s="4" t="n"/>
      <c r="D50" s="4" t="n"/>
      <c r="E50" s="4" t="n"/>
      <c r="F50" s="12" t="n"/>
      <c r="G50" s="12" t="n"/>
      <c r="H50" s="4" t="inlineStr">
        <is>
          <t>Pendente</t>
        </is>
      </c>
      <c r="I50" s="25" t="n"/>
      <c r="J50" s="4" t="n"/>
      <c r="K50" s="4" t="inlineStr">
        <is>
          <t>Geral</t>
        </is>
      </c>
      <c r="L50" s="4" t="n"/>
    </row>
    <row r="51">
      <c r="A51" s="25" t="n"/>
      <c r="B51" s="4" t="n"/>
      <c r="C51" s="4" t="n"/>
      <c r="D51" s="4" t="n"/>
      <c r="E51" s="4" t="n"/>
      <c r="F51" s="12" t="n"/>
      <c r="G51" s="12" t="n"/>
      <c r="H51" s="4" t="inlineStr">
        <is>
          <t>Pendente</t>
        </is>
      </c>
      <c r="I51" s="25" t="n"/>
      <c r="J51" s="4" t="n"/>
      <c r="K51" s="4" t="inlineStr">
        <is>
          <t>Geral</t>
        </is>
      </c>
      <c r="L51" s="4" t="n"/>
    </row>
    <row r="52">
      <c r="A52" s="25" t="n"/>
      <c r="B52" s="4" t="n"/>
      <c r="C52" s="4" t="n"/>
      <c r="D52" s="4" t="n"/>
      <c r="E52" s="4" t="n"/>
      <c r="F52" s="12" t="n"/>
      <c r="G52" s="12" t="n"/>
      <c r="H52" s="4" t="inlineStr">
        <is>
          <t>Pendente</t>
        </is>
      </c>
      <c r="I52" s="25" t="n"/>
      <c r="J52" s="4" t="n"/>
      <c r="K52" s="4" t="inlineStr">
        <is>
          <t>Geral</t>
        </is>
      </c>
      <c r="L52" s="4" t="n"/>
    </row>
    <row r="53">
      <c r="A53" s="25" t="n"/>
      <c r="B53" s="4" t="n"/>
      <c r="C53" s="4" t="n"/>
      <c r="D53" s="4" t="n"/>
      <c r="E53" s="4" t="n"/>
      <c r="F53" s="12" t="n"/>
      <c r="G53" s="12" t="n"/>
      <c r="H53" s="4" t="inlineStr">
        <is>
          <t>Pendente</t>
        </is>
      </c>
      <c r="I53" s="25" t="n"/>
      <c r="J53" s="4" t="n"/>
      <c r="K53" s="4" t="inlineStr">
        <is>
          <t>Geral</t>
        </is>
      </c>
      <c r="L53" s="4" t="n"/>
    </row>
    <row r="54">
      <c r="A54" s="25" t="n"/>
      <c r="B54" s="4" t="n"/>
      <c r="C54" s="4" t="n"/>
      <c r="D54" s="4" t="n"/>
      <c r="E54" s="4" t="n"/>
      <c r="F54" s="12" t="n"/>
      <c r="G54" s="12" t="n"/>
      <c r="H54" s="4" t="inlineStr">
        <is>
          <t>Pendente</t>
        </is>
      </c>
      <c r="I54" s="25" t="n"/>
      <c r="J54" s="4" t="n"/>
      <c r="K54" s="4" t="inlineStr">
        <is>
          <t>Geral</t>
        </is>
      </c>
      <c r="L54" s="4" t="n"/>
    </row>
    <row r="55">
      <c r="A55" s="25" t="n"/>
      <c r="B55" s="4" t="n"/>
      <c r="C55" s="4" t="n"/>
      <c r="D55" s="4" t="n"/>
      <c r="E55" s="4" t="n"/>
      <c r="F55" s="12" t="n"/>
      <c r="G55" s="12" t="n"/>
      <c r="H55" s="4" t="inlineStr">
        <is>
          <t>Pendente</t>
        </is>
      </c>
      <c r="I55" s="25" t="n"/>
      <c r="J55" s="4" t="n"/>
      <c r="K55" s="4" t="inlineStr">
        <is>
          <t>Geral</t>
        </is>
      </c>
      <c r="L55" s="4" t="n"/>
    </row>
    <row r="56">
      <c r="A56" s="25" t="n"/>
      <c r="B56" s="4" t="n"/>
      <c r="C56" s="4" t="n"/>
      <c r="D56" s="4" t="n"/>
      <c r="E56" s="4" t="n"/>
      <c r="F56" s="12" t="n"/>
      <c r="G56" s="12" t="n"/>
      <c r="H56" s="4" t="inlineStr">
        <is>
          <t>Pendente</t>
        </is>
      </c>
      <c r="I56" s="25" t="n"/>
      <c r="J56" s="4" t="n"/>
      <c r="K56" s="4" t="inlineStr">
        <is>
          <t>Geral</t>
        </is>
      </c>
      <c r="L56" s="4" t="n"/>
    </row>
    <row r="57">
      <c r="A57" s="25" t="n"/>
      <c r="B57" s="4" t="n"/>
      <c r="C57" s="4" t="n"/>
      <c r="D57" s="4" t="n"/>
      <c r="E57" s="4" t="n"/>
      <c r="F57" s="12" t="n"/>
      <c r="G57" s="12" t="n"/>
      <c r="H57" s="4" t="inlineStr">
        <is>
          <t>Pendente</t>
        </is>
      </c>
      <c r="I57" s="25" t="n"/>
      <c r="J57" s="4" t="n"/>
      <c r="K57" s="4" t="inlineStr">
        <is>
          <t>Geral</t>
        </is>
      </c>
      <c r="L57" s="4" t="n"/>
    </row>
    <row r="58">
      <c r="A58" s="25" t="n"/>
      <c r="B58" s="4" t="n"/>
      <c r="C58" s="4" t="n"/>
      <c r="D58" s="4" t="n"/>
      <c r="E58" s="4" t="n"/>
      <c r="F58" s="12" t="n"/>
      <c r="G58" s="12" t="n"/>
      <c r="H58" s="4" t="inlineStr">
        <is>
          <t>Pendente</t>
        </is>
      </c>
      <c r="I58" s="25" t="n"/>
      <c r="J58" s="4" t="n"/>
      <c r="K58" s="4" t="inlineStr">
        <is>
          <t>Geral</t>
        </is>
      </c>
      <c r="L58" s="4" t="n"/>
    </row>
    <row r="59">
      <c r="A59" s="25" t="n"/>
      <c r="B59" s="4" t="n"/>
      <c r="C59" s="4" t="n"/>
      <c r="D59" s="4" t="n"/>
      <c r="E59" s="4" t="n"/>
      <c r="F59" s="12" t="n"/>
      <c r="G59" s="12" t="n"/>
      <c r="H59" s="4" t="inlineStr">
        <is>
          <t>Pendente</t>
        </is>
      </c>
      <c r="I59" s="25" t="n"/>
      <c r="J59" s="4" t="n"/>
      <c r="K59" s="4" t="inlineStr">
        <is>
          <t>Geral</t>
        </is>
      </c>
      <c r="L59" s="4" t="n"/>
    </row>
    <row r="60">
      <c r="A60" s="25" t="n"/>
      <c r="B60" s="4" t="n"/>
      <c r="C60" s="4" t="n"/>
      <c r="D60" s="4" t="n"/>
      <c r="E60" s="4" t="n"/>
      <c r="F60" s="12" t="n"/>
      <c r="G60" s="12" t="n"/>
      <c r="H60" s="4" t="inlineStr">
        <is>
          <t>Pendente</t>
        </is>
      </c>
      <c r="I60" s="25" t="n"/>
      <c r="J60" s="4" t="n"/>
      <c r="K60" s="4" t="inlineStr">
        <is>
          <t>Geral</t>
        </is>
      </c>
      <c r="L60" s="4" t="n"/>
    </row>
    <row r="61">
      <c r="A61" s="25" t="n"/>
      <c r="B61" s="4" t="n"/>
      <c r="C61" s="4" t="n"/>
      <c r="D61" s="4" t="n"/>
      <c r="E61" s="4" t="n"/>
      <c r="F61" s="12" t="n"/>
      <c r="G61" s="12" t="n"/>
      <c r="H61" s="4" t="inlineStr">
        <is>
          <t>Pendente</t>
        </is>
      </c>
      <c r="I61" s="25" t="n"/>
      <c r="J61" s="4" t="n"/>
      <c r="K61" s="4" t="inlineStr">
        <is>
          <t>Geral</t>
        </is>
      </c>
      <c r="L61" s="4" t="n"/>
    </row>
    <row r="62">
      <c r="A62" s="25" t="n"/>
      <c r="B62" s="4" t="n"/>
      <c r="C62" s="4" t="n"/>
      <c r="D62" s="4" t="n"/>
      <c r="E62" s="4" t="n"/>
      <c r="F62" s="12" t="n"/>
      <c r="G62" s="12" t="n"/>
      <c r="H62" s="4" t="inlineStr">
        <is>
          <t>Pendente</t>
        </is>
      </c>
      <c r="I62" s="25" t="n"/>
      <c r="J62" s="4" t="n"/>
      <c r="K62" s="4" t="inlineStr">
        <is>
          <t>Geral</t>
        </is>
      </c>
      <c r="L62" s="4" t="n"/>
    </row>
    <row r="63">
      <c r="A63" s="25" t="n"/>
      <c r="B63" s="4" t="n"/>
      <c r="C63" s="4" t="n"/>
      <c r="D63" s="4" t="n"/>
      <c r="E63" s="4" t="n"/>
      <c r="F63" s="12" t="n"/>
      <c r="G63" s="12" t="n"/>
      <c r="H63" s="4" t="inlineStr">
        <is>
          <t>Pendente</t>
        </is>
      </c>
      <c r="I63" s="25" t="n"/>
      <c r="J63" s="4" t="n"/>
      <c r="K63" s="4" t="inlineStr">
        <is>
          <t>Geral</t>
        </is>
      </c>
      <c r="L63" s="4" t="n"/>
    </row>
    <row r="64">
      <c r="A64" s="25" t="n"/>
      <c r="B64" s="4" t="n"/>
      <c r="C64" s="4" t="n"/>
      <c r="D64" s="4" t="n"/>
      <c r="E64" s="4" t="n"/>
      <c r="F64" s="12" t="n"/>
      <c r="G64" s="12" t="n"/>
      <c r="H64" s="4" t="inlineStr">
        <is>
          <t>Pendente</t>
        </is>
      </c>
      <c r="I64" s="25" t="n"/>
      <c r="J64" s="4" t="n"/>
      <c r="K64" s="4" t="inlineStr">
        <is>
          <t>Geral</t>
        </is>
      </c>
      <c r="L64" s="4" t="n"/>
    </row>
    <row r="65">
      <c r="A65" s="25" t="n"/>
      <c r="B65" s="4" t="n"/>
      <c r="C65" s="4" t="n"/>
      <c r="D65" s="4" t="n"/>
      <c r="E65" s="4" t="n"/>
      <c r="F65" s="12" t="n"/>
      <c r="G65" s="12" t="n"/>
      <c r="H65" s="4" t="inlineStr">
        <is>
          <t>Pendente</t>
        </is>
      </c>
      <c r="I65" s="25" t="n"/>
      <c r="J65" s="4" t="n"/>
      <c r="K65" s="4" t="inlineStr">
        <is>
          <t>Geral</t>
        </is>
      </c>
      <c r="L65" s="4" t="n"/>
    </row>
    <row r="66">
      <c r="A66" s="25" t="n"/>
      <c r="B66" s="4" t="n"/>
      <c r="C66" s="4" t="n"/>
      <c r="D66" s="4" t="n"/>
      <c r="E66" s="4" t="n"/>
      <c r="F66" s="12" t="n"/>
      <c r="G66" s="12" t="n"/>
      <c r="H66" s="4" t="inlineStr">
        <is>
          <t>Pendente</t>
        </is>
      </c>
      <c r="I66" s="25" t="n"/>
      <c r="J66" s="4" t="n"/>
      <c r="K66" s="4" t="inlineStr">
        <is>
          <t>Geral</t>
        </is>
      </c>
      <c r="L66" s="4" t="n"/>
    </row>
    <row r="67">
      <c r="A67" s="25" t="n"/>
      <c r="B67" s="4" t="n"/>
      <c r="C67" s="4" t="n"/>
      <c r="D67" s="4" t="n"/>
      <c r="E67" s="4" t="n"/>
      <c r="F67" s="12" t="n"/>
      <c r="G67" s="12" t="n"/>
      <c r="H67" s="4" t="inlineStr">
        <is>
          <t>Pendente</t>
        </is>
      </c>
      <c r="I67" s="25" t="n"/>
      <c r="J67" s="4" t="n"/>
      <c r="K67" s="4" t="inlineStr">
        <is>
          <t>Geral</t>
        </is>
      </c>
      <c r="L67" s="4" t="n"/>
    </row>
    <row r="68">
      <c r="A68" s="25" t="n"/>
      <c r="B68" s="4" t="n"/>
      <c r="C68" s="4" t="n"/>
      <c r="D68" s="4" t="n"/>
      <c r="E68" s="4" t="n"/>
      <c r="F68" s="12" t="n"/>
      <c r="G68" s="12" t="n"/>
      <c r="H68" s="4" t="inlineStr">
        <is>
          <t>Pendente</t>
        </is>
      </c>
      <c r="I68" s="25" t="n"/>
      <c r="J68" s="4" t="n"/>
      <c r="K68" s="4" t="inlineStr">
        <is>
          <t>Geral</t>
        </is>
      </c>
      <c r="L68" s="4" t="n"/>
    </row>
    <row r="69">
      <c r="A69" s="25" t="n"/>
      <c r="B69" s="4" t="n"/>
      <c r="C69" s="4" t="n"/>
      <c r="D69" s="4" t="n"/>
      <c r="E69" s="4" t="n"/>
      <c r="F69" s="12" t="n"/>
      <c r="G69" s="12" t="n"/>
      <c r="H69" s="4" t="inlineStr">
        <is>
          <t>Pendente</t>
        </is>
      </c>
      <c r="I69" s="25" t="n"/>
      <c r="J69" s="4" t="n"/>
      <c r="K69" s="4" t="inlineStr">
        <is>
          <t>Geral</t>
        </is>
      </c>
      <c r="L69" s="4" t="n"/>
    </row>
    <row r="70">
      <c r="A70" s="25" t="n"/>
      <c r="B70" s="4" t="n"/>
      <c r="C70" s="4" t="n"/>
      <c r="D70" s="4" t="n"/>
      <c r="E70" s="4" t="n"/>
      <c r="F70" s="12" t="n"/>
      <c r="G70" s="12" t="n"/>
      <c r="H70" s="4" t="inlineStr">
        <is>
          <t>Pendente</t>
        </is>
      </c>
      <c r="I70" s="25" t="n"/>
      <c r="J70" s="4" t="n"/>
      <c r="K70" s="4" t="inlineStr">
        <is>
          <t>Geral</t>
        </is>
      </c>
      <c r="L70" s="4" t="n"/>
    </row>
    <row r="71">
      <c r="A71" s="25" t="n"/>
      <c r="B71" s="4" t="n"/>
      <c r="C71" s="4" t="n"/>
      <c r="D71" s="4" t="n"/>
      <c r="E71" s="4" t="n"/>
      <c r="F71" s="12" t="n"/>
      <c r="G71" s="12" t="n"/>
      <c r="H71" s="4" t="inlineStr">
        <is>
          <t>Pendente</t>
        </is>
      </c>
      <c r="I71" s="25" t="n"/>
      <c r="J71" s="4" t="n"/>
      <c r="K71" s="4" t="inlineStr">
        <is>
          <t>Geral</t>
        </is>
      </c>
      <c r="L71" s="4" t="n"/>
    </row>
    <row r="72">
      <c r="A72" s="25" t="n"/>
      <c r="B72" s="4" t="n"/>
      <c r="C72" s="4" t="n"/>
      <c r="D72" s="4" t="n"/>
      <c r="E72" s="4" t="n"/>
      <c r="F72" s="12" t="n"/>
      <c r="G72" s="12" t="n"/>
      <c r="H72" s="4" t="inlineStr">
        <is>
          <t>Pendente</t>
        </is>
      </c>
      <c r="I72" s="25" t="n"/>
      <c r="J72" s="4" t="n"/>
      <c r="K72" s="4" t="inlineStr">
        <is>
          <t>Geral</t>
        </is>
      </c>
      <c r="L72" s="4" t="n"/>
    </row>
    <row r="73">
      <c r="A73" s="25" t="n"/>
      <c r="B73" s="4" t="n"/>
      <c r="C73" s="4" t="n"/>
      <c r="D73" s="4" t="n"/>
      <c r="E73" s="4" t="n"/>
      <c r="F73" s="12" t="n"/>
      <c r="G73" s="12" t="n"/>
      <c r="H73" s="4" t="inlineStr">
        <is>
          <t>Pendente</t>
        </is>
      </c>
      <c r="I73" s="25" t="n"/>
      <c r="J73" s="4" t="n"/>
      <c r="K73" s="4" t="inlineStr">
        <is>
          <t>Geral</t>
        </is>
      </c>
      <c r="L73" s="4" t="n"/>
    </row>
    <row r="74">
      <c r="A74" s="25" t="n"/>
      <c r="B74" s="4" t="n"/>
      <c r="C74" s="4" t="n"/>
      <c r="D74" s="4" t="n"/>
      <c r="E74" s="4" t="n"/>
      <c r="F74" s="12" t="n"/>
      <c r="G74" s="12" t="n"/>
      <c r="H74" s="4" t="inlineStr">
        <is>
          <t>Pendente</t>
        </is>
      </c>
      <c r="I74" s="25" t="n"/>
      <c r="J74" s="4" t="n"/>
      <c r="K74" s="4" t="inlineStr">
        <is>
          <t>Geral</t>
        </is>
      </c>
      <c r="L74" s="4" t="n"/>
    </row>
    <row r="75">
      <c r="A75" s="25" t="n"/>
      <c r="B75" s="4" t="n"/>
      <c r="C75" s="4" t="n"/>
      <c r="D75" s="4" t="n"/>
      <c r="E75" s="4" t="n"/>
      <c r="F75" s="12" t="n"/>
      <c r="G75" s="12" t="n"/>
      <c r="H75" s="4" t="inlineStr">
        <is>
          <t>Pendente</t>
        </is>
      </c>
      <c r="I75" s="25" t="n"/>
      <c r="J75" s="4" t="n"/>
      <c r="K75" s="4" t="inlineStr">
        <is>
          <t>Geral</t>
        </is>
      </c>
      <c r="L75" s="4" t="n"/>
    </row>
    <row r="76">
      <c r="A76" s="25" t="n"/>
      <c r="B76" s="4" t="n"/>
      <c r="C76" s="4" t="n"/>
      <c r="D76" s="4" t="n"/>
      <c r="E76" s="4" t="n"/>
      <c r="F76" s="12" t="n"/>
      <c r="G76" s="12" t="n"/>
      <c r="H76" s="4" t="inlineStr">
        <is>
          <t>Pendente</t>
        </is>
      </c>
      <c r="I76" s="25" t="n"/>
      <c r="J76" s="4" t="n"/>
      <c r="K76" s="4" t="inlineStr">
        <is>
          <t>Geral</t>
        </is>
      </c>
      <c r="L76" s="4" t="n"/>
    </row>
    <row r="77">
      <c r="A77" s="25" t="n"/>
      <c r="B77" s="4" t="n"/>
      <c r="C77" s="4" t="n"/>
      <c r="D77" s="4" t="n"/>
      <c r="E77" s="4" t="n"/>
      <c r="F77" s="12" t="n"/>
      <c r="G77" s="12" t="n"/>
      <c r="H77" s="4" t="inlineStr">
        <is>
          <t>Pendente</t>
        </is>
      </c>
      <c r="I77" s="25" t="n"/>
      <c r="J77" s="4" t="n"/>
      <c r="K77" s="4" t="inlineStr">
        <is>
          <t>Geral</t>
        </is>
      </c>
      <c r="L77" s="4" t="n"/>
    </row>
    <row r="78">
      <c r="A78" s="25" t="n"/>
      <c r="B78" s="4" t="n"/>
      <c r="C78" s="4" t="n"/>
      <c r="D78" s="4" t="n"/>
      <c r="E78" s="4" t="n"/>
      <c r="F78" s="12" t="n"/>
      <c r="G78" s="12" t="n"/>
      <c r="H78" s="4" t="inlineStr">
        <is>
          <t>Pendente</t>
        </is>
      </c>
      <c r="I78" s="25" t="n"/>
      <c r="J78" s="4" t="n"/>
      <c r="K78" s="4" t="inlineStr">
        <is>
          <t>Geral</t>
        </is>
      </c>
      <c r="L78" s="4" t="n"/>
    </row>
    <row r="79">
      <c r="A79" s="25" t="n"/>
      <c r="B79" s="4" t="n"/>
      <c r="C79" s="4" t="n"/>
      <c r="D79" s="4" t="n"/>
      <c r="E79" s="4" t="n"/>
      <c r="F79" s="12" t="n"/>
      <c r="G79" s="12" t="n"/>
      <c r="H79" s="4" t="inlineStr">
        <is>
          <t>Pendente</t>
        </is>
      </c>
      <c r="I79" s="25" t="n"/>
      <c r="J79" s="4" t="n"/>
      <c r="K79" s="4" t="inlineStr">
        <is>
          <t>Geral</t>
        </is>
      </c>
      <c r="L79" s="4" t="n"/>
    </row>
    <row r="80">
      <c r="A80" s="25" t="n"/>
      <c r="B80" s="4" t="n"/>
      <c r="C80" s="4" t="n"/>
      <c r="D80" s="4" t="n"/>
      <c r="E80" s="4" t="n"/>
      <c r="F80" s="12" t="n"/>
      <c r="G80" s="12" t="n"/>
      <c r="H80" s="4" t="inlineStr">
        <is>
          <t>Pendente</t>
        </is>
      </c>
      <c r="I80" s="25" t="n"/>
      <c r="J80" s="4" t="n"/>
      <c r="K80" s="4" t="inlineStr">
        <is>
          <t>Geral</t>
        </is>
      </c>
      <c r="L80" s="4" t="n"/>
    </row>
    <row r="81">
      <c r="A81" s="25" t="n"/>
      <c r="B81" s="4" t="n"/>
      <c r="C81" s="4" t="n"/>
      <c r="D81" s="4" t="n"/>
      <c r="E81" s="4" t="n"/>
      <c r="F81" s="12" t="n"/>
      <c r="G81" s="12" t="n"/>
      <c r="H81" s="4" t="inlineStr">
        <is>
          <t>Pendente</t>
        </is>
      </c>
      <c r="I81" s="25" t="n"/>
      <c r="J81" s="4" t="n"/>
      <c r="K81" s="4" t="inlineStr">
        <is>
          <t>Geral</t>
        </is>
      </c>
      <c r="L81" s="4" t="n"/>
    </row>
    <row r="82">
      <c r="A82" s="25" t="n"/>
      <c r="B82" s="4" t="n"/>
      <c r="C82" s="4" t="n"/>
      <c r="D82" s="4" t="n"/>
      <c r="E82" s="4" t="n"/>
      <c r="F82" s="12" t="n"/>
      <c r="G82" s="12" t="n"/>
      <c r="H82" s="4" t="inlineStr">
        <is>
          <t>Pendente</t>
        </is>
      </c>
      <c r="I82" s="25" t="n"/>
      <c r="J82" s="4" t="n"/>
      <c r="K82" s="4" t="inlineStr">
        <is>
          <t>Geral</t>
        </is>
      </c>
      <c r="L82" s="4" t="n"/>
    </row>
    <row r="83">
      <c r="A83" s="25" t="n"/>
      <c r="B83" s="4" t="n"/>
      <c r="C83" s="4" t="n"/>
      <c r="D83" s="4" t="n"/>
      <c r="E83" s="4" t="n"/>
      <c r="F83" s="12" t="n"/>
      <c r="G83" s="12" t="n"/>
      <c r="H83" s="4" t="inlineStr">
        <is>
          <t>Pendente</t>
        </is>
      </c>
      <c r="I83" s="25" t="n"/>
      <c r="J83" s="4" t="n"/>
      <c r="K83" s="4" t="inlineStr">
        <is>
          <t>Geral</t>
        </is>
      </c>
      <c r="L83" s="4" t="n"/>
    </row>
    <row r="84">
      <c r="A84" s="25" t="n"/>
      <c r="B84" s="4" t="n"/>
      <c r="C84" s="4" t="n"/>
      <c r="D84" s="4" t="n"/>
      <c r="E84" s="4" t="n"/>
      <c r="F84" s="12" t="n"/>
      <c r="G84" s="12" t="n"/>
      <c r="H84" s="4" t="inlineStr">
        <is>
          <t>Pendente</t>
        </is>
      </c>
      <c r="I84" s="25" t="n"/>
      <c r="J84" s="4" t="n"/>
      <c r="K84" s="4" t="inlineStr">
        <is>
          <t>Geral</t>
        </is>
      </c>
      <c r="L84" s="4" t="n"/>
    </row>
    <row r="85">
      <c r="A85" s="25" t="n"/>
      <c r="B85" s="4" t="n"/>
      <c r="C85" s="4" t="n"/>
      <c r="D85" s="4" t="n"/>
      <c r="E85" s="4" t="n"/>
      <c r="F85" s="12" t="n"/>
      <c r="G85" s="12" t="n"/>
      <c r="H85" s="4" t="inlineStr">
        <is>
          <t>Pendente</t>
        </is>
      </c>
      <c r="I85" s="25" t="n"/>
      <c r="J85" s="4" t="n"/>
      <c r="K85" s="4" t="inlineStr">
        <is>
          <t>Geral</t>
        </is>
      </c>
      <c r="L85" s="4" t="n"/>
    </row>
    <row r="86">
      <c r="A86" s="25" t="n"/>
      <c r="B86" s="4" t="n"/>
      <c r="C86" s="4" t="n"/>
      <c r="D86" s="4" t="n"/>
      <c r="E86" s="4" t="n"/>
      <c r="F86" s="12" t="n"/>
      <c r="G86" s="12" t="n"/>
      <c r="H86" s="4" t="inlineStr">
        <is>
          <t>Pendente</t>
        </is>
      </c>
      <c r="I86" s="25" t="n"/>
      <c r="J86" s="4" t="n"/>
      <c r="K86" s="4" t="inlineStr">
        <is>
          <t>Geral</t>
        </is>
      </c>
      <c r="L86" s="4" t="n"/>
    </row>
    <row r="87">
      <c r="A87" s="25" t="n"/>
      <c r="B87" s="4" t="n"/>
      <c r="C87" s="4" t="n"/>
      <c r="D87" s="4" t="n"/>
      <c r="E87" s="4" t="n"/>
      <c r="F87" s="12" t="n"/>
      <c r="G87" s="12" t="n"/>
      <c r="H87" s="4" t="inlineStr">
        <is>
          <t>Pendente</t>
        </is>
      </c>
      <c r="I87" s="25" t="n"/>
      <c r="J87" s="4" t="n"/>
      <c r="K87" s="4" t="inlineStr">
        <is>
          <t>Geral</t>
        </is>
      </c>
      <c r="L87" s="4" t="n"/>
    </row>
    <row r="88">
      <c r="A88" s="25" t="n"/>
      <c r="B88" s="4" t="n"/>
      <c r="C88" s="4" t="n"/>
      <c r="D88" s="4" t="n"/>
      <c r="E88" s="4" t="n"/>
      <c r="F88" s="12" t="n"/>
      <c r="G88" s="12" t="n"/>
      <c r="H88" s="4" t="inlineStr">
        <is>
          <t>Pendente</t>
        </is>
      </c>
      <c r="I88" s="25" t="n"/>
      <c r="J88" s="4" t="n"/>
      <c r="K88" s="4" t="inlineStr">
        <is>
          <t>Geral</t>
        </is>
      </c>
      <c r="L88" s="4" t="n"/>
    </row>
    <row r="89">
      <c r="A89" s="25" t="n"/>
      <c r="B89" s="4" t="n"/>
      <c r="C89" s="4" t="n"/>
      <c r="D89" s="4" t="n"/>
      <c r="E89" s="4" t="n"/>
      <c r="F89" s="12" t="n"/>
      <c r="G89" s="12" t="n"/>
      <c r="H89" s="4" t="inlineStr">
        <is>
          <t>Pendente</t>
        </is>
      </c>
      <c r="I89" s="25" t="n"/>
      <c r="J89" s="4" t="n"/>
      <c r="K89" s="4" t="inlineStr">
        <is>
          <t>Geral</t>
        </is>
      </c>
      <c r="L89" s="4" t="n"/>
    </row>
    <row r="90">
      <c r="A90" s="25" t="n"/>
      <c r="B90" s="4" t="n"/>
      <c r="C90" s="4" t="n"/>
      <c r="D90" s="4" t="n"/>
      <c r="E90" s="4" t="n"/>
      <c r="F90" s="12" t="n"/>
      <c r="G90" s="12" t="n"/>
      <c r="H90" s="4" t="inlineStr">
        <is>
          <t>Pendente</t>
        </is>
      </c>
      <c r="I90" s="25" t="n"/>
      <c r="J90" s="4" t="n"/>
      <c r="K90" s="4" t="inlineStr">
        <is>
          <t>Geral</t>
        </is>
      </c>
      <c r="L90" s="4" t="n"/>
    </row>
    <row r="91">
      <c r="A91" s="25" t="n"/>
      <c r="B91" s="4" t="n"/>
      <c r="C91" s="4" t="n"/>
      <c r="D91" s="4" t="n"/>
      <c r="E91" s="4" t="n"/>
      <c r="F91" s="12" t="n"/>
      <c r="G91" s="12" t="n"/>
      <c r="H91" s="4" t="inlineStr">
        <is>
          <t>Pendente</t>
        </is>
      </c>
      <c r="I91" s="25" t="n"/>
      <c r="J91" s="4" t="n"/>
      <c r="K91" s="4" t="inlineStr">
        <is>
          <t>Geral</t>
        </is>
      </c>
      <c r="L91" s="4" t="n"/>
    </row>
    <row r="92">
      <c r="A92" s="25" t="n"/>
      <c r="B92" s="4" t="n"/>
      <c r="C92" s="4" t="n"/>
      <c r="D92" s="4" t="n"/>
      <c r="E92" s="4" t="n"/>
      <c r="F92" s="12" t="n"/>
      <c r="G92" s="12" t="n"/>
      <c r="H92" s="4" t="inlineStr">
        <is>
          <t>Pendente</t>
        </is>
      </c>
      <c r="I92" s="25" t="n"/>
      <c r="J92" s="4" t="n"/>
      <c r="K92" s="4" t="inlineStr">
        <is>
          <t>Geral</t>
        </is>
      </c>
      <c r="L92" s="4" t="n"/>
    </row>
    <row r="93">
      <c r="A93" s="25" t="n"/>
      <c r="B93" s="4" t="n"/>
      <c r="C93" s="4" t="n"/>
      <c r="D93" s="4" t="n"/>
      <c r="E93" s="4" t="n"/>
      <c r="F93" s="12" t="n"/>
      <c r="G93" s="12" t="n"/>
      <c r="H93" s="4" t="inlineStr">
        <is>
          <t>Pendente</t>
        </is>
      </c>
      <c r="I93" s="25" t="n"/>
      <c r="J93" s="4" t="n"/>
      <c r="K93" s="4" t="inlineStr">
        <is>
          <t>Geral</t>
        </is>
      </c>
      <c r="L93" s="4" t="n"/>
    </row>
    <row r="94">
      <c r="A94" s="25" t="n"/>
      <c r="B94" s="4" t="n"/>
      <c r="C94" s="4" t="n"/>
      <c r="D94" s="4" t="n"/>
      <c r="E94" s="4" t="n"/>
      <c r="F94" s="12" t="n"/>
      <c r="G94" s="12" t="n"/>
      <c r="H94" s="4" t="inlineStr">
        <is>
          <t>Pendente</t>
        </is>
      </c>
      <c r="I94" s="25" t="n"/>
      <c r="J94" s="4" t="n"/>
      <c r="K94" s="4" t="inlineStr">
        <is>
          <t>Geral</t>
        </is>
      </c>
      <c r="L94" s="4" t="n"/>
    </row>
    <row r="95">
      <c r="A95" s="25" t="n"/>
      <c r="B95" s="4" t="n"/>
      <c r="C95" s="4" t="n"/>
      <c r="D95" s="4" t="n"/>
      <c r="E95" s="4" t="n"/>
      <c r="F95" s="12" t="n"/>
      <c r="G95" s="12" t="n"/>
      <c r="H95" s="4" t="inlineStr">
        <is>
          <t>Pendente</t>
        </is>
      </c>
      <c r="I95" s="25" t="n"/>
      <c r="J95" s="4" t="n"/>
      <c r="K95" s="4" t="inlineStr">
        <is>
          <t>Geral</t>
        </is>
      </c>
      <c r="L95" s="4" t="n"/>
    </row>
    <row r="96">
      <c r="A96" s="25" t="n"/>
      <c r="B96" s="4" t="n"/>
      <c r="C96" s="4" t="n"/>
      <c r="D96" s="4" t="n"/>
      <c r="E96" s="4" t="n"/>
      <c r="F96" s="12" t="n"/>
      <c r="G96" s="12" t="n"/>
      <c r="H96" s="4" t="inlineStr">
        <is>
          <t>Pendente</t>
        </is>
      </c>
      <c r="I96" s="25" t="n"/>
      <c r="J96" s="4" t="n"/>
      <c r="K96" s="4" t="inlineStr">
        <is>
          <t>Geral</t>
        </is>
      </c>
      <c r="L96" s="4" t="n"/>
    </row>
    <row r="97">
      <c r="A97" s="25" t="n"/>
      <c r="B97" s="4" t="n"/>
      <c r="C97" s="4" t="n"/>
      <c r="D97" s="4" t="n"/>
      <c r="E97" s="4" t="n"/>
      <c r="F97" s="12" t="n"/>
      <c r="G97" s="12" t="n"/>
      <c r="H97" s="4" t="inlineStr">
        <is>
          <t>Pendente</t>
        </is>
      </c>
      <c r="I97" s="25" t="n"/>
      <c r="J97" s="4" t="n"/>
      <c r="K97" s="4" t="inlineStr">
        <is>
          <t>Geral</t>
        </is>
      </c>
      <c r="L97" s="4" t="n"/>
    </row>
    <row r="98">
      <c r="A98" s="25" t="n"/>
      <c r="B98" s="4" t="n"/>
      <c r="C98" s="4" t="n"/>
      <c r="D98" s="4" t="n"/>
      <c r="E98" s="4" t="n"/>
      <c r="F98" s="12" t="n"/>
      <c r="G98" s="12" t="n"/>
      <c r="H98" s="4" t="inlineStr">
        <is>
          <t>Pendente</t>
        </is>
      </c>
      <c r="I98" s="25" t="n"/>
      <c r="J98" s="4" t="n"/>
      <c r="K98" s="4" t="inlineStr">
        <is>
          <t>Geral</t>
        </is>
      </c>
      <c r="L98" s="4" t="n"/>
    </row>
    <row r="99">
      <c r="A99" s="25" t="n"/>
      <c r="B99" s="4" t="n"/>
      <c r="C99" s="4" t="n"/>
      <c r="D99" s="4" t="n"/>
      <c r="E99" s="4" t="n"/>
      <c r="F99" s="12" t="n"/>
      <c r="G99" s="12" t="n"/>
      <c r="H99" s="4" t="inlineStr">
        <is>
          <t>Pendente</t>
        </is>
      </c>
      <c r="I99" s="25" t="n"/>
      <c r="J99" s="4" t="n"/>
      <c r="K99" s="4" t="inlineStr">
        <is>
          <t>Geral</t>
        </is>
      </c>
      <c r="L99" s="4" t="n"/>
    </row>
    <row r="100">
      <c r="A100" s="25" t="n"/>
      <c r="B100" s="4" t="n"/>
      <c r="C100" s="4" t="n"/>
      <c r="D100" s="4" t="n"/>
      <c r="E100" s="4" t="n"/>
      <c r="F100" s="12" t="n"/>
      <c r="G100" s="12" t="n"/>
      <c r="H100" s="4" t="inlineStr">
        <is>
          <t>Pendente</t>
        </is>
      </c>
      <c r="I100" s="25" t="n"/>
      <c r="J100" s="4" t="n"/>
      <c r="K100" s="4" t="inlineStr">
        <is>
          <t>Geral</t>
        </is>
      </c>
      <c r="L100" s="4" t="n"/>
    </row>
    <row r="101">
      <c r="A101" s="25" t="n"/>
      <c r="B101" s="4" t="n"/>
      <c r="C101" s="4" t="n"/>
      <c r="D101" s="4" t="n"/>
      <c r="E101" s="4" t="n"/>
      <c r="F101" s="12" t="n"/>
      <c r="G101" s="12" t="n"/>
      <c r="H101" s="4" t="inlineStr">
        <is>
          <t>Pendente</t>
        </is>
      </c>
      <c r="I101" s="25" t="n"/>
      <c r="J101" s="4" t="n"/>
      <c r="K101" s="4" t="inlineStr">
        <is>
          <t>Geral</t>
        </is>
      </c>
      <c r="L101" s="4" t="n"/>
    </row>
    <row r="102">
      <c r="A102" s="25" t="n"/>
      <c r="B102" s="4" t="n"/>
      <c r="C102" s="4" t="n"/>
      <c r="D102" s="4" t="n"/>
      <c r="E102" s="4" t="n"/>
      <c r="F102" s="12" t="n"/>
      <c r="G102" s="12" t="n"/>
      <c r="H102" s="4" t="inlineStr">
        <is>
          <t>Pendente</t>
        </is>
      </c>
      <c r="I102" s="25" t="n"/>
      <c r="J102" s="4" t="n"/>
      <c r="K102" s="4" t="inlineStr">
        <is>
          <t>Geral</t>
        </is>
      </c>
      <c r="L102" s="4" t="n"/>
    </row>
    <row r="103">
      <c r="A103" s="25" t="n"/>
      <c r="B103" s="4" t="n"/>
      <c r="C103" s="4" t="n"/>
      <c r="D103" s="4" t="n"/>
      <c r="E103" s="4" t="n"/>
      <c r="F103" s="12" t="n"/>
      <c r="G103" s="12" t="n"/>
      <c r="H103" s="4" t="inlineStr">
        <is>
          <t>Pendente</t>
        </is>
      </c>
      <c r="I103" s="25" t="n"/>
      <c r="J103" s="4" t="n"/>
      <c r="K103" s="4" t="inlineStr">
        <is>
          <t>Geral</t>
        </is>
      </c>
      <c r="L103" s="4" t="n"/>
    </row>
    <row r="104">
      <c r="A104" s="25" t="n"/>
      <c r="B104" s="4" t="n"/>
      <c r="C104" s="4" t="n"/>
      <c r="D104" s="4" t="n"/>
      <c r="E104" s="4" t="n"/>
      <c r="F104" s="12" t="n"/>
      <c r="G104" s="12" t="n"/>
      <c r="H104" s="4" t="inlineStr">
        <is>
          <t>Pendente</t>
        </is>
      </c>
      <c r="I104" s="25" t="n"/>
      <c r="J104" s="4" t="n"/>
      <c r="K104" s="4" t="inlineStr">
        <is>
          <t>Geral</t>
        </is>
      </c>
      <c r="L104" s="4" t="n"/>
    </row>
    <row r="105">
      <c r="A105" s="25" t="n"/>
      <c r="B105" s="4" t="n"/>
      <c r="C105" s="4" t="n"/>
      <c r="D105" s="4" t="n"/>
      <c r="E105" s="4" t="n"/>
      <c r="F105" s="12" t="n"/>
      <c r="G105" s="12" t="n"/>
      <c r="H105" s="4" t="inlineStr">
        <is>
          <t>Pendente</t>
        </is>
      </c>
      <c r="I105" s="25" t="n"/>
      <c r="J105" s="4" t="n"/>
      <c r="K105" s="4" t="inlineStr">
        <is>
          <t>Geral</t>
        </is>
      </c>
      <c r="L105" s="4" t="n"/>
    </row>
    <row r="106">
      <c r="A106" s="25" t="n"/>
      <c r="B106" s="4" t="n"/>
      <c r="C106" s="4" t="n"/>
      <c r="D106" s="4" t="n"/>
      <c r="E106" s="4" t="n"/>
      <c r="F106" s="12" t="n"/>
      <c r="G106" s="12" t="n"/>
      <c r="H106" s="4" t="inlineStr">
        <is>
          <t>Pendente</t>
        </is>
      </c>
      <c r="I106" s="25" t="n"/>
      <c r="J106" s="4" t="n"/>
      <c r="K106" s="4" t="inlineStr">
        <is>
          <t>Geral</t>
        </is>
      </c>
      <c r="L106" s="4" t="n"/>
    </row>
  </sheetData>
  <mergeCells count="5">
    <mergeCell ref="A4:B4"/>
    <mergeCell ref="A2:L2"/>
    <mergeCell ref="E4:F4"/>
    <mergeCell ref="I4:J4"/>
    <mergeCell ref="A1:L1"/>
  </mergeCells>
  <conditionalFormatting sqref="A7:L106">
    <cfRule type="expression" priority="1" dxfId="0">
      <formula>$H7="Pago"</formula>
    </cfRule>
  </conditionalFormatting>
  <dataValidations count="3">
    <dataValidation sqref="B7:B106" showDropDown="0" showInputMessage="0" showErrorMessage="0" allowBlank="0" type="list">
      <formula1>"Mão de obra,Engenharia/ART,Equipamentos e locações,Ferramentas,EPIs/EPCs,Tributos,Administração,Imprevistos,Outros"</formula1>
    </dataValidation>
    <dataValidation sqref="H7:H106" showDropDown="0" showInputMessage="0" showErrorMessage="0" allowBlank="0" type="list">
      <formula1>"Pendente,Pago,Parcial,Cancelado"</formula1>
    </dataValidation>
    <dataValidation sqref="K7:K106" showDropDown="0" showInputMessage="0" showErrorMessage="0" allowBlank="0" type="list">
      <formula1>"Geral,A,B,C"</formula1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26" customWidth="1" min="12" max="12"/>
    <col width="17" customWidth="1" min="13" max="13"/>
    <col width="35" customWidth="1" min="14" max="14"/>
  </cols>
  <sheetData>
    <row r="1" ht="30" customHeight="1">
      <c r="A1" s="1" t="inlineStr">
        <is>
          <t>CONTROLE DE MATERIAIS — FORNECIMENTO DO CONDOMÍNIO</t>
        </is>
      </c>
    </row>
    <row r="2">
      <c r="A2" s="21" t="inlineStr">
        <is>
          <t>Preencha solicitado, entregue e utilizado. O saldo e o alerta de reposição são calculados automaticamente. Quantidades permanecem preliminares até a conferência executiva.</t>
        </is>
      </c>
    </row>
    <row r="6" ht="30" customHeight="1">
      <c r="A6" s="15" t="inlineStr">
        <is>
          <t>Item</t>
        </is>
      </c>
      <c r="B6" s="15" t="inlineStr">
        <is>
          <t>Unidade</t>
        </is>
      </c>
      <c r="C6" s="15" t="inlineStr">
        <is>
          <t>Qtd. preliminar</t>
        </is>
      </c>
      <c r="D6" s="15" t="inlineStr">
        <is>
          <t>Qtd. solicitada</t>
        </is>
      </c>
      <c r="E6" s="15" t="inlineStr">
        <is>
          <t>Qtd. entregue</t>
        </is>
      </c>
      <c r="F6" s="15" t="inlineStr">
        <is>
          <t>Qtd. utilizada</t>
        </is>
      </c>
      <c r="G6" s="15" t="inlineStr">
        <is>
          <t>Saldo disponível</t>
        </is>
      </c>
      <c r="H6" s="15" t="inlineStr">
        <is>
          <t>A entregar</t>
        </is>
      </c>
      <c r="I6" s="15" t="inlineStr">
        <is>
          <t>Data necessária</t>
        </is>
      </c>
      <c r="J6" s="15" t="inlineStr">
        <is>
          <t>Entrega prevista</t>
        </is>
      </c>
      <c r="K6" s="15" t="inlineStr">
        <is>
          <t>Entrega realizada</t>
        </is>
      </c>
      <c r="L6" s="15" t="inlineStr">
        <is>
          <t>Fornecedor</t>
        </is>
      </c>
      <c r="M6" s="15" t="inlineStr">
        <is>
          <t>Situação</t>
        </is>
      </c>
      <c r="N6" s="15" t="inlineStr">
        <is>
          <t>Observações</t>
        </is>
      </c>
    </row>
    <row r="7">
      <c r="A7" s="4" t="inlineStr">
        <is>
          <t>Bloco estrutural 9 × 19 × 39 cm</t>
        </is>
      </c>
      <c r="B7" s="4" t="inlineStr">
        <is>
          <t>un</t>
        </is>
      </c>
      <c r="C7" s="4" t="n">
        <v>3635</v>
      </c>
      <c r="D7" s="4" t="n"/>
      <c r="E7" s="4" t="n"/>
      <c r="F7" s="4" t="n"/>
      <c r="G7" s="4">
        <f>E7-F7</f>
        <v/>
      </c>
      <c r="H7" s="4">
        <f>MAX(0,D7-E7)</f>
        <v/>
      </c>
      <c r="I7" s="25" t="n"/>
      <c r="J7" s="25" t="n"/>
      <c r="K7" s="25" t="n"/>
      <c r="L7" s="4" t="n"/>
      <c r="M7" s="4" t="inlineStr">
        <is>
          <t>Não solicitado</t>
        </is>
      </c>
      <c r="N7" s="4" t="n"/>
    </row>
    <row r="8">
      <c r="A8" s="4" t="inlineStr">
        <is>
          <t>Concreto estrutural fck 25 MPa</t>
        </is>
      </c>
      <c r="B8" s="4" t="inlineStr">
        <is>
          <t>m³</t>
        </is>
      </c>
      <c r="C8" s="4" t="n">
        <v>21.5</v>
      </c>
      <c r="D8" s="4" t="n"/>
      <c r="E8" s="4" t="n"/>
      <c r="F8" s="4" t="n"/>
      <c r="G8" s="4">
        <f>E8-F8</f>
        <v/>
      </c>
      <c r="H8" s="4">
        <f>MAX(0,D8-E8)</f>
        <v/>
      </c>
      <c r="I8" s="25" t="n"/>
      <c r="J8" s="25" t="n"/>
      <c r="K8" s="25" t="n"/>
      <c r="L8" s="4" t="n"/>
      <c r="M8" s="4" t="inlineStr">
        <is>
          <t>Não solicitado</t>
        </is>
      </c>
      <c r="N8" s="4" t="n"/>
    </row>
    <row r="9">
      <c r="A9" s="4" t="inlineStr">
        <is>
          <t>Aço CA-50/CA-60</t>
        </is>
      </c>
      <c r="B9" s="4" t="inlineStr">
        <is>
          <t>kg</t>
        </is>
      </c>
      <c r="C9" s="4" t="n">
        <v>2000</v>
      </c>
      <c r="D9" s="4" t="n"/>
      <c r="E9" s="4" t="n"/>
      <c r="F9" s="4" t="n"/>
      <c r="G9" s="4">
        <f>E9-F9</f>
        <v/>
      </c>
      <c r="H9" s="4">
        <f>MAX(0,D9-E9)</f>
        <v/>
      </c>
      <c r="I9" s="25" t="n"/>
      <c r="J9" s="25" t="n"/>
      <c r="K9" s="25" t="n"/>
      <c r="L9" s="4" t="n"/>
      <c r="M9" s="4" t="inlineStr">
        <is>
          <t>Não solicitado</t>
        </is>
      </c>
      <c r="N9" s="4" t="n"/>
    </row>
    <row r="10">
      <c r="A10" s="4" t="inlineStr">
        <is>
          <t>Argamassa de assentamento</t>
        </is>
      </c>
      <c r="B10" s="4" t="inlineStr">
        <is>
          <t>m³</t>
        </is>
      </c>
      <c r="C10" s="4" t="n">
        <v>4</v>
      </c>
      <c r="D10" s="4" t="n"/>
      <c r="E10" s="4" t="n"/>
      <c r="F10" s="4" t="n"/>
      <c r="G10" s="4">
        <f>E10-F10</f>
        <v/>
      </c>
      <c r="H10" s="4">
        <f>MAX(0,D10-E10)</f>
        <v/>
      </c>
      <c r="I10" s="25" t="n"/>
      <c r="J10" s="25" t="n"/>
      <c r="K10" s="25" t="n"/>
      <c r="L10" s="4" t="n"/>
      <c r="M10" s="4" t="inlineStr">
        <is>
          <t>Não solicitado</t>
        </is>
      </c>
      <c r="N10" s="4" t="n"/>
    </row>
    <row r="11">
      <c r="A11" s="4" t="inlineStr">
        <is>
          <t>Cimento</t>
        </is>
      </c>
      <c r="B11" s="4" t="inlineStr">
        <is>
          <t>saco</t>
        </is>
      </c>
      <c r="C11" s="4" t="n"/>
      <c r="D11" s="4" t="n"/>
      <c r="E11" s="4" t="n"/>
      <c r="F11" s="4" t="n"/>
      <c r="G11" s="4">
        <f>E11-F11</f>
        <v/>
      </c>
      <c r="H11" s="4">
        <f>MAX(0,D11-E11)</f>
        <v/>
      </c>
      <c r="I11" s="25" t="n"/>
      <c r="J11" s="25" t="n"/>
      <c r="K11" s="25" t="n"/>
      <c r="L11" s="4" t="n"/>
      <c r="M11" s="4" t="inlineStr">
        <is>
          <t>Não solicitado</t>
        </is>
      </c>
      <c r="N11" s="4" t="n"/>
    </row>
    <row r="12">
      <c r="A12" s="4" t="inlineStr">
        <is>
          <t>Areia</t>
        </is>
      </c>
      <c r="B12" s="4" t="inlineStr">
        <is>
          <t>m³</t>
        </is>
      </c>
      <c r="C12" s="4" t="n"/>
      <c r="D12" s="4" t="n"/>
      <c r="E12" s="4" t="n"/>
      <c r="F12" s="4" t="n"/>
      <c r="G12" s="4">
        <f>E12-F12</f>
        <v/>
      </c>
      <c r="H12" s="4">
        <f>MAX(0,D12-E12)</f>
        <v/>
      </c>
      <c r="I12" s="25" t="n"/>
      <c r="J12" s="25" t="n"/>
      <c r="K12" s="25" t="n"/>
      <c r="L12" s="4" t="n"/>
      <c r="M12" s="4" t="inlineStr">
        <is>
          <t>Não solicitado</t>
        </is>
      </c>
      <c r="N12" s="4" t="n"/>
    </row>
    <row r="13">
      <c r="A13" s="4" t="inlineStr">
        <is>
          <t>Brita</t>
        </is>
      </c>
      <c r="B13" s="4" t="inlineStr">
        <is>
          <t>m³</t>
        </is>
      </c>
      <c r="C13" s="4" t="n"/>
      <c r="D13" s="4" t="n"/>
      <c r="E13" s="4" t="n"/>
      <c r="F13" s="4" t="n"/>
      <c r="G13" s="4">
        <f>E13-F13</f>
        <v/>
      </c>
      <c r="H13" s="4">
        <f>MAX(0,D13-E13)</f>
        <v/>
      </c>
      <c r="I13" s="25" t="n"/>
      <c r="J13" s="25" t="n"/>
      <c r="K13" s="25" t="n"/>
      <c r="L13" s="4" t="n"/>
      <c r="M13" s="4" t="inlineStr">
        <is>
          <t>Não solicitado</t>
        </is>
      </c>
      <c r="N13" s="4" t="n"/>
    </row>
    <row r="14">
      <c r="A14" s="4" t="inlineStr">
        <is>
          <t>Concertina simples Ø 50 cm</t>
        </is>
      </c>
      <c r="B14" s="4" t="inlineStr">
        <is>
          <t>m</t>
        </is>
      </c>
      <c r="C14" s="4" t="n">
        <v>97</v>
      </c>
      <c r="D14" s="4" t="n"/>
      <c r="E14" s="4" t="n"/>
      <c r="F14" s="4" t="n"/>
      <c r="G14" s="4">
        <f>E14-F14</f>
        <v/>
      </c>
      <c r="H14" s="4">
        <f>MAX(0,D14-E14)</f>
        <v/>
      </c>
      <c r="I14" s="25" t="n"/>
      <c r="J14" s="25" t="n"/>
      <c r="K14" s="25" t="n"/>
      <c r="L14" s="4" t="n"/>
      <c r="M14" s="4" t="inlineStr">
        <is>
          <t>Não solicitado</t>
        </is>
      </c>
      <c r="N14" s="4" t="n"/>
    </row>
    <row r="15">
      <c r="A15" s="4" t="inlineStr">
        <is>
          <t>Suportes e fixadores de concertina</t>
        </is>
      </c>
      <c r="B15" s="4" t="inlineStr">
        <is>
          <t>conjunto</t>
        </is>
      </c>
      <c r="C15" s="4" t="n"/>
      <c r="D15" s="4" t="n"/>
      <c r="E15" s="4" t="n"/>
      <c r="F15" s="4" t="n"/>
      <c r="G15" s="4">
        <f>E15-F15</f>
        <v/>
      </c>
      <c r="H15" s="4">
        <f>MAX(0,D15-E15)</f>
        <v/>
      </c>
      <c r="I15" s="25" t="n"/>
      <c r="J15" s="25" t="n"/>
      <c r="K15" s="25" t="n"/>
      <c r="L15" s="4" t="n"/>
      <c r="M15" s="4" t="inlineStr">
        <is>
          <t>Não solicitado</t>
        </is>
      </c>
      <c r="N15" s="4" t="n"/>
    </row>
    <row r="16">
      <c r="A16" s="4" t="inlineStr">
        <is>
          <t>Caçamba de 5 m³</t>
        </is>
      </c>
      <c r="B16" s="4" t="inlineStr">
        <is>
          <t>un</t>
        </is>
      </c>
      <c r="C16" s="4" t="n">
        <v>12</v>
      </c>
      <c r="D16" s="4" t="n"/>
      <c r="E16" s="4" t="n"/>
      <c r="F16" s="4" t="n"/>
      <c r="G16" s="4">
        <f>E16-F16</f>
        <v/>
      </c>
      <c r="H16" s="4">
        <f>MAX(0,D16-E16)</f>
        <v/>
      </c>
      <c r="I16" s="25" t="n"/>
      <c r="J16" s="25" t="n"/>
      <c r="K16" s="25" t="n"/>
      <c r="L16" s="4" t="n"/>
      <c r="M16" s="4" t="inlineStr">
        <is>
          <t>Não solicitado</t>
        </is>
      </c>
      <c r="N16" s="4" t="n"/>
    </row>
  </sheetData>
  <mergeCells count="2">
    <mergeCell ref="A2:N2"/>
    <mergeCell ref="A1:N1"/>
  </mergeCells>
  <conditionalFormatting sqref="A7:N16">
    <cfRule type="expression" priority="1" dxfId="0">
      <formula>$M7="Entregue"</formula>
    </cfRule>
    <cfRule type="expression" priority="2" dxfId="1">
      <formula>$M7="Reprovado"</formula>
    </cfRule>
  </conditionalFormatting>
  <conditionalFormatting sqref="H7:H16">
    <cfRule type="cellIs" priority="3" operator="greaterThan" dxfId="2">
      <formula>0</formula>
    </cfRule>
  </conditionalFormatting>
  <dataValidations count="1">
    <dataValidation sqref="M7:M16" showDropDown="0" showInputMessage="0" showErrorMessage="0" allowBlank="0" type="list">
      <formula1>"Não solicitado,Solicitado,Parcial,Entregue,Reprovado"</formula1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20" customWidth="1" min="5" max="5"/>
    <col width="15" customWidth="1" min="6" max="6"/>
    <col width="17" customWidth="1" min="7" max="7"/>
    <col width="20" customWidth="1" min="8" max="8"/>
    <col width="18" customWidth="1" min="9" max="9"/>
    <col width="24" customWidth="1" min="10" max="10"/>
    <col width="15" customWidth="1" min="11" max="11"/>
    <col width="38" customWidth="1" min="12" max="12"/>
  </cols>
  <sheetData>
    <row r="1" ht="30" customHeight="1">
      <c r="A1" s="1" t="inlineStr">
        <is>
          <t>MEDIÇÕES E MARCOS DA OBRA</t>
        </is>
      </c>
    </row>
    <row r="2">
      <c r="A2" s="21" t="inlineStr">
        <is>
          <t>Registre a medição mensal, anexe evidências e compare o avanço planejado com o realizado antes de emitir o relatório ao condomínio.</t>
        </is>
      </c>
    </row>
    <row r="6" ht="30" customHeight="1">
      <c r="A6" s="15" t="inlineStr">
        <is>
          <t>Medição</t>
        </is>
      </c>
      <c r="B6" s="15" t="inlineStr">
        <is>
          <t>Período</t>
        </is>
      </c>
      <c r="C6" s="15" t="inlineStr">
        <is>
          <t>Data da vistoria</t>
        </is>
      </c>
      <c r="D6" s="15" t="inlineStr">
        <is>
          <t>Físico planejado acum.</t>
        </is>
      </c>
      <c r="E6" s="15" t="inlineStr">
        <is>
          <t>Físico realizado acum.</t>
        </is>
      </c>
      <c r="F6" s="15" t="inlineStr">
        <is>
          <t>Desvio físico</t>
        </is>
      </c>
      <c r="G6" s="15" t="inlineStr">
        <is>
          <t>Valor contratual</t>
        </is>
      </c>
      <c r="H6" s="15" t="inlineStr">
        <is>
          <t>Valor recebido acum.</t>
        </is>
      </c>
      <c r="I6" s="15" t="inlineStr">
        <is>
          <t>Relatório emitido?</t>
        </is>
      </c>
      <c r="J6" s="15" t="inlineStr">
        <is>
          <t>Aprovado por</t>
        </is>
      </c>
      <c r="K6" s="15" t="inlineStr">
        <is>
          <t>Situação</t>
        </is>
      </c>
      <c r="L6" s="15" t="inlineStr">
        <is>
          <t>Observações</t>
        </is>
      </c>
    </row>
    <row r="7">
      <c r="A7" s="4" t="inlineStr">
        <is>
          <t>Medição 1</t>
        </is>
      </c>
      <c r="B7" s="4" t="inlineStr">
        <is>
          <t>Mês 1</t>
        </is>
      </c>
      <c r="C7" s="25" t="n"/>
      <c r="D7" s="16" t="n">
        <v>0.25</v>
      </c>
      <c r="E7" s="16" t="n">
        <v>0</v>
      </c>
      <c r="F7" s="16">
        <f>E7-D7</f>
        <v/>
      </c>
      <c r="G7" s="12" t="n">
        <v>125000</v>
      </c>
      <c r="H7" s="12" t="n">
        <v>75000</v>
      </c>
      <c r="I7" s="4" t="inlineStr">
        <is>
          <t>Não</t>
        </is>
      </c>
      <c r="J7" s="4" t="n"/>
      <c r="K7" s="4" t="inlineStr">
        <is>
          <t>Pendente</t>
        </is>
      </c>
      <c r="L7" s="4" t="n"/>
    </row>
    <row r="8">
      <c r="A8" s="4" t="inlineStr">
        <is>
          <t>Medição 2</t>
        </is>
      </c>
      <c r="B8" s="4" t="inlineStr">
        <is>
          <t>Mês 2</t>
        </is>
      </c>
      <c r="C8" s="25" t="n"/>
      <c r="D8" s="16" t="n">
        <v>0.5</v>
      </c>
      <c r="E8" s="16" t="n">
        <v>0</v>
      </c>
      <c r="F8" s="16">
        <f>E8-D8</f>
        <v/>
      </c>
      <c r="G8" s="12" t="n">
        <v>125000</v>
      </c>
      <c r="H8" s="12" t="n">
        <v>100000</v>
      </c>
      <c r="I8" s="4" t="inlineStr">
        <is>
          <t>Não</t>
        </is>
      </c>
      <c r="J8" s="4" t="n"/>
      <c r="K8" s="4" t="inlineStr">
        <is>
          <t>Pendente</t>
        </is>
      </c>
      <c r="L8" s="4" t="n"/>
    </row>
    <row r="9">
      <c r="A9" s="4" t="inlineStr">
        <is>
          <t>Medição 3</t>
        </is>
      </c>
      <c r="B9" s="4" t="inlineStr">
        <is>
          <t>Mês 3</t>
        </is>
      </c>
      <c r="C9" s="25" t="n"/>
      <c r="D9" s="16" t="n">
        <v>0.75</v>
      </c>
      <c r="E9" s="16" t="n">
        <v>0</v>
      </c>
      <c r="F9" s="16">
        <f>E9-D9</f>
        <v/>
      </c>
      <c r="G9" s="12" t="n">
        <v>125000</v>
      </c>
      <c r="H9" s="12" t="n">
        <v>125000</v>
      </c>
      <c r="I9" s="4" t="inlineStr">
        <is>
          <t>Não</t>
        </is>
      </c>
      <c r="J9" s="4" t="n"/>
      <c r="K9" s="4" t="inlineStr">
        <is>
          <t>Pendente</t>
        </is>
      </c>
      <c r="L9" s="4" t="n"/>
    </row>
    <row r="10">
      <c r="A10" s="4" t="inlineStr">
        <is>
          <t>Medição final</t>
        </is>
      </c>
      <c r="B10" s="4" t="inlineStr">
        <is>
          <t>Mês 4</t>
        </is>
      </c>
      <c r="C10" s="25" t="n"/>
      <c r="D10" s="16" t="n">
        <v>1</v>
      </c>
      <c r="E10" s="16" t="n">
        <v>0</v>
      </c>
      <c r="F10" s="16">
        <f>E10-D10</f>
        <v/>
      </c>
      <c r="G10" s="12" t="n">
        <v>125000</v>
      </c>
      <c r="H10" s="12" t="n">
        <v>125000</v>
      </c>
      <c r="I10" s="4" t="inlineStr">
        <is>
          <t>Não</t>
        </is>
      </c>
      <c r="J10" s="4" t="n"/>
      <c r="K10" s="4" t="inlineStr">
        <is>
          <t>Pendente</t>
        </is>
      </c>
      <c r="L10" s="4" t="n"/>
    </row>
  </sheetData>
  <mergeCells count="2">
    <mergeCell ref="A2:L2"/>
    <mergeCell ref="A1:L1"/>
  </mergeCells>
  <conditionalFormatting sqref="F7:F10">
    <cfRule type="cellIs" priority="1" operator="lessThan" dxfId="1">
      <formula>0</formula>
    </cfRule>
  </conditionalFormatting>
  <dataValidations count="2">
    <dataValidation sqref="I7:I10" showDropDown="0" showInputMessage="0" showErrorMessage="0" allowBlank="1" type="list">
      <formula1>"Não,Sim"</formula1>
    </dataValidation>
    <dataValidation sqref="K7:K10" showDropDown="0" showInputMessage="0" showErrorMessage="0" allowBlank="0" type="list">
      <formula1>"Pendente,Em análise,Aprovada,Reprovada"</formula1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0" customWidth="1" min="4" max="4"/>
    <col width="11" customWidth="1" min="5" max="5"/>
    <col width="11" customWidth="1" min="6" max="6"/>
    <col width="15" customWidth="1" min="7" max="7"/>
    <col width="45" customWidth="1" min="8" max="8"/>
    <col width="38" customWidth="1" min="9" max="9"/>
    <col width="28" customWidth="1" min="10" max="10"/>
    <col width="30" customWidth="1" min="11" max="11"/>
    <col width="42" customWidth="1" min="12" max="12"/>
    <col width="28" customWidth="1" min="13" max="13"/>
    <col width="24" customWidth="1" min="14" max="14"/>
  </cols>
  <sheetData>
    <row r="1" ht="30" customHeight="1">
      <c r="A1" s="1" t="inlineStr">
        <is>
          <t>DIÁRIO DE OBRA</t>
        </is>
      </c>
    </row>
    <row r="2">
      <c r="A2" s="21" t="inlineStr">
        <is>
          <t>Faça um registro por dia trabalhado, incluindo ocorrências, efetivo, segurança, materiais e evidências fotográficas.</t>
        </is>
      </c>
    </row>
    <row r="6" ht="30" customHeight="1">
      <c r="A6" s="15" t="inlineStr">
        <is>
          <t>Data</t>
        </is>
      </c>
      <c r="B6" s="15" t="inlineStr">
        <is>
          <t>Dia</t>
        </is>
      </c>
      <c r="C6" s="15" t="inlineStr">
        <is>
          <t>Clima</t>
        </is>
      </c>
      <c r="D6" s="15" t="inlineStr">
        <is>
          <t>Trecho</t>
        </is>
      </c>
      <c r="E6" s="15" t="inlineStr">
        <is>
          <t>Pedreiros</t>
        </is>
      </c>
      <c r="F6" s="15" t="inlineStr">
        <is>
          <t>Serventes</t>
        </is>
      </c>
      <c r="G6" s="15" t="inlineStr">
        <is>
          <t>Horas trabalhadas</t>
        </is>
      </c>
      <c r="H6" s="15" t="inlineStr">
        <is>
          <t>Atividades executadas</t>
        </is>
      </c>
      <c r="I6" s="15" t="inlineStr">
        <is>
          <t>Materiais recebidos/usados</t>
        </is>
      </c>
      <c r="J6" s="15" t="inlineStr">
        <is>
          <t>Equipamentos</t>
        </is>
      </c>
      <c r="K6" s="15" t="inlineStr">
        <is>
          <t>Segurança/DDS</t>
        </is>
      </c>
      <c r="L6" s="15" t="inlineStr">
        <is>
          <t>Ocorrências e paralisações</t>
        </is>
      </c>
      <c r="M6" s="15" t="inlineStr">
        <is>
          <t>Fotos/links</t>
        </is>
      </c>
      <c r="N6" s="15" t="inlineStr">
        <is>
          <t>Responsável</t>
        </is>
      </c>
    </row>
    <row r="7">
      <c r="A7" s="25" t="n"/>
      <c r="B7" s="4">
        <f>IF(A7="","",TEXT(A7,"dddd"))</f>
        <v/>
      </c>
      <c r="C7" s="4" t="n"/>
      <c r="D7" s="4" t="inlineStr">
        <is>
          <t>Geral</t>
        </is>
      </c>
      <c r="E7" s="4" t="n">
        <v>1</v>
      </c>
      <c r="F7" s="4" t="n">
        <v>4</v>
      </c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5" t="n"/>
      <c r="B8" s="4">
        <f>IF(A8="","",TEXT(A8,"dddd"))</f>
        <v/>
      </c>
      <c r="C8" s="4" t="n"/>
      <c r="D8" s="4" t="inlineStr">
        <is>
          <t>Geral</t>
        </is>
      </c>
      <c r="E8" s="4" t="n">
        <v>1</v>
      </c>
      <c r="F8" s="4" t="n">
        <v>4</v>
      </c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5" t="n"/>
      <c r="B9" s="4">
        <f>IF(A9="","",TEXT(A9,"dddd"))</f>
        <v/>
      </c>
      <c r="C9" s="4" t="n"/>
      <c r="D9" s="4" t="inlineStr">
        <is>
          <t>Geral</t>
        </is>
      </c>
      <c r="E9" s="4" t="n">
        <v>1</v>
      </c>
      <c r="F9" s="4" t="n">
        <v>4</v>
      </c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5" t="n"/>
      <c r="B10" s="4">
        <f>IF(A10="","",TEXT(A10,"dddd"))</f>
        <v/>
      </c>
      <c r="C10" s="4" t="n"/>
      <c r="D10" s="4" t="inlineStr">
        <is>
          <t>Geral</t>
        </is>
      </c>
      <c r="E10" s="4" t="n">
        <v>1</v>
      </c>
      <c r="F10" s="4" t="n">
        <v>4</v>
      </c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5" t="n"/>
      <c r="B11" s="4">
        <f>IF(A11="","",TEXT(A11,"dddd"))</f>
        <v/>
      </c>
      <c r="C11" s="4" t="n"/>
      <c r="D11" s="4" t="inlineStr">
        <is>
          <t>Geral</t>
        </is>
      </c>
      <c r="E11" s="4" t="n">
        <v>1</v>
      </c>
      <c r="F11" s="4" t="n">
        <v>4</v>
      </c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5" t="n"/>
      <c r="B12" s="4">
        <f>IF(A12="","",TEXT(A12,"dddd"))</f>
        <v/>
      </c>
      <c r="C12" s="4" t="n"/>
      <c r="D12" s="4" t="inlineStr">
        <is>
          <t>Geral</t>
        </is>
      </c>
      <c r="E12" s="4" t="n">
        <v>1</v>
      </c>
      <c r="F12" s="4" t="n">
        <v>4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5" t="n"/>
      <c r="B13" s="4">
        <f>IF(A13="","",TEXT(A13,"dddd"))</f>
        <v/>
      </c>
      <c r="C13" s="4" t="n"/>
      <c r="D13" s="4" t="inlineStr">
        <is>
          <t>Geral</t>
        </is>
      </c>
      <c r="E13" s="4" t="n">
        <v>1</v>
      </c>
      <c r="F13" s="4" t="n">
        <v>4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5" t="n"/>
      <c r="B14" s="4">
        <f>IF(A14="","",TEXT(A14,"dddd"))</f>
        <v/>
      </c>
      <c r="C14" s="4" t="n"/>
      <c r="D14" s="4" t="inlineStr">
        <is>
          <t>Geral</t>
        </is>
      </c>
      <c r="E14" s="4" t="n">
        <v>1</v>
      </c>
      <c r="F14" s="4" t="n">
        <v>4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5" t="n"/>
      <c r="B15" s="4">
        <f>IF(A15="","",TEXT(A15,"dddd"))</f>
        <v/>
      </c>
      <c r="C15" s="4" t="n"/>
      <c r="D15" s="4" t="inlineStr">
        <is>
          <t>Geral</t>
        </is>
      </c>
      <c r="E15" s="4" t="n">
        <v>1</v>
      </c>
      <c r="F15" s="4" t="n">
        <v>4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5" t="n"/>
      <c r="B16" s="4">
        <f>IF(A16="","",TEXT(A16,"dddd"))</f>
        <v/>
      </c>
      <c r="C16" s="4" t="n"/>
      <c r="D16" s="4" t="inlineStr">
        <is>
          <t>Geral</t>
        </is>
      </c>
      <c r="E16" s="4" t="n">
        <v>1</v>
      </c>
      <c r="F16" s="4" t="n">
        <v>4</v>
      </c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5" t="n"/>
      <c r="B17" s="4">
        <f>IF(A17="","",TEXT(A17,"dddd"))</f>
        <v/>
      </c>
      <c r="C17" s="4" t="n"/>
      <c r="D17" s="4" t="inlineStr">
        <is>
          <t>Geral</t>
        </is>
      </c>
      <c r="E17" s="4" t="n">
        <v>1</v>
      </c>
      <c r="F17" s="4" t="n">
        <v>4</v>
      </c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5" t="n"/>
      <c r="B18" s="4">
        <f>IF(A18="","",TEXT(A18,"dddd"))</f>
        <v/>
      </c>
      <c r="C18" s="4" t="n"/>
      <c r="D18" s="4" t="inlineStr">
        <is>
          <t>Geral</t>
        </is>
      </c>
      <c r="E18" s="4" t="n">
        <v>1</v>
      </c>
      <c r="F18" s="4" t="n">
        <v>4</v>
      </c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5" t="n"/>
      <c r="B19" s="4">
        <f>IF(A19="","",TEXT(A19,"dddd"))</f>
        <v/>
      </c>
      <c r="C19" s="4" t="n"/>
      <c r="D19" s="4" t="inlineStr">
        <is>
          <t>Geral</t>
        </is>
      </c>
      <c r="E19" s="4" t="n">
        <v>1</v>
      </c>
      <c r="F19" s="4" t="n">
        <v>4</v>
      </c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5" t="n"/>
      <c r="B20" s="4">
        <f>IF(A20="","",TEXT(A20,"dddd"))</f>
        <v/>
      </c>
      <c r="C20" s="4" t="n"/>
      <c r="D20" s="4" t="inlineStr">
        <is>
          <t>Geral</t>
        </is>
      </c>
      <c r="E20" s="4" t="n">
        <v>1</v>
      </c>
      <c r="F20" s="4" t="n">
        <v>4</v>
      </c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5" t="n"/>
      <c r="B21" s="4">
        <f>IF(A21="","",TEXT(A21,"dddd"))</f>
        <v/>
      </c>
      <c r="C21" s="4" t="n"/>
      <c r="D21" s="4" t="inlineStr">
        <is>
          <t>Geral</t>
        </is>
      </c>
      <c r="E21" s="4" t="n">
        <v>1</v>
      </c>
      <c r="F21" s="4" t="n">
        <v>4</v>
      </c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5" t="n"/>
      <c r="B22" s="4">
        <f>IF(A22="","",TEXT(A22,"dddd"))</f>
        <v/>
      </c>
      <c r="C22" s="4" t="n"/>
      <c r="D22" s="4" t="inlineStr">
        <is>
          <t>Geral</t>
        </is>
      </c>
      <c r="E22" s="4" t="n">
        <v>1</v>
      </c>
      <c r="F22" s="4" t="n">
        <v>4</v>
      </c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5" t="n"/>
      <c r="B23" s="4">
        <f>IF(A23="","",TEXT(A23,"dddd"))</f>
        <v/>
      </c>
      <c r="C23" s="4" t="n"/>
      <c r="D23" s="4" t="inlineStr">
        <is>
          <t>Geral</t>
        </is>
      </c>
      <c r="E23" s="4" t="n">
        <v>1</v>
      </c>
      <c r="F23" s="4" t="n">
        <v>4</v>
      </c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5" t="n"/>
      <c r="B24" s="4">
        <f>IF(A24="","",TEXT(A24,"dddd"))</f>
        <v/>
      </c>
      <c r="C24" s="4" t="n"/>
      <c r="D24" s="4" t="inlineStr">
        <is>
          <t>Geral</t>
        </is>
      </c>
      <c r="E24" s="4" t="n">
        <v>1</v>
      </c>
      <c r="F24" s="4" t="n">
        <v>4</v>
      </c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5" t="n"/>
      <c r="B25" s="4">
        <f>IF(A25="","",TEXT(A25,"dddd"))</f>
        <v/>
      </c>
      <c r="C25" s="4" t="n"/>
      <c r="D25" s="4" t="inlineStr">
        <is>
          <t>Geral</t>
        </is>
      </c>
      <c r="E25" s="4" t="n">
        <v>1</v>
      </c>
      <c r="F25" s="4" t="n">
        <v>4</v>
      </c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5" t="n"/>
      <c r="B26" s="4">
        <f>IF(A26="","",TEXT(A26,"dddd"))</f>
        <v/>
      </c>
      <c r="C26" s="4" t="n"/>
      <c r="D26" s="4" t="inlineStr">
        <is>
          <t>Geral</t>
        </is>
      </c>
      <c r="E26" s="4" t="n">
        <v>1</v>
      </c>
      <c r="F26" s="4" t="n">
        <v>4</v>
      </c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5" t="n"/>
      <c r="B27" s="4">
        <f>IF(A27="","",TEXT(A27,"dddd"))</f>
        <v/>
      </c>
      <c r="C27" s="4" t="n"/>
      <c r="D27" s="4" t="inlineStr">
        <is>
          <t>Geral</t>
        </is>
      </c>
      <c r="E27" s="4" t="n">
        <v>1</v>
      </c>
      <c r="F27" s="4" t="n">
        <v>4</v>
      </c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5" t="n"/>
      <c r="B28" s="4">
        <f>IF(A28="","",TEXT(A28,"dddd"))</f>
        <v/>
      </c>
      <c r="C28" s="4" t="n"/>
      <c r="D28" s="4" t="inlineStr">
        <is>
          <t>Geral</t>
        </is>
      </c>
      <c r="E28" s="4" t="n">
        <v>1</v>
      </c>
      <c r="F28" s="4" t="n">
        <v>4</v>
      </c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5" t="n"/>
      <c r="B29" s="4">
        <f>IF(A29="","",TEXT(A29,"dddd"))</f>
        <v/>
      </c>
      <c r="C29" s="4" t="n"/>
      <c r="D29" s="4" t="inlineStr">
        <is>
          <t>Geral</t>
        </is>
      </c>
      <c r="E29" s="4" t="n">
        <v>1</v>
      </c>
      <c r="F29" s="4" t="n">
        <v>4</v>
      </c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5" t="n"/>
      <c r="B30" s="4">
        <f>IF(A30="","",TEXT(A30,"dddd"))</f>
        <v/>
      </c>
      <c r="C30" s="4" t="n"/>
      <c r="D30" s="4" t="inlineStr">
        <is>
          <t>Geral</t>
        </is>
      </c>
      <c r="E30" s="4" t="n">
        <v>1</v>
      </c>
      <c r="F30" s="4" t="n">
        <v>4</v>
      </c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5" t="n"/>
      <c r="B31" s="4">
        <f>IF(A31="","",TEXT(A31,"dddd"))</f>
        <v/>
      </c>
      <c r="C31" s="4" t="n"/>
      <c r="D31" s="4" t="inlineStr">
        <is>
          <t>Geral</t>
        </is>
      </c>
      <c r="E31" s="4" t="n">
        <v>1</v>
      </c>
      <c r="F31" s="4" t="n">
        <v>4</v>
      </c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5" t="n"/>
      <c r="B32" s="4">
        <f>IF(A32="","",TEXT(A32,"dddd"))</f>
        <v/>
      </c>
      <c r="C32" s="4" t="n"/>
      <c r="D32" s="4" t="inlineStr">
        <is>
          <t>Geral</t>
        </is>
      </c>
      <c r="E32" s="4" t="n">
        <v>1</v>
      </c>
      <c r="F32" s="4" t="n">
        <v>4</v>
      </c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5" t="n"/>
      <c r="B33" s="4">
        <f>IF(A33="","",TEXT(A33,"dddd"))</f>
        <v/>
      </c>
      <c r="C33" s="4" t="n"/>
      <c r="D33" s="4" t="inlineStr">
        <is>
          <t>Geral</t>
        </is>
      </c>
      <c r="E33" s="4" t="n">
        <v>1</v>
      </c>
      <c r="F33" s="4" t="n">
        <v>4</v>
      </c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5" t="n"/>
      <c r="B34" s="4">
        <f>IF(A34="","",TEXT(A34,"dddd"))</f>
        <v/>
      </c>
      <c r="C34" s="4" t="n"/>
      <c r="D34" s="4" t="inlineStr">
        <is>
          <t>Geral</t>
        </is>
      </c>
      <c r="E34" s="4" t="n">
        <v>1</v>
      </c>
      <c r="F34" s="4" t="n">
        <v>4</v>
      </c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5" t="n"/>
      <c r="B35" s="4">
        <f>IF(A35="","",TEXT(A35,"dddd"))</f>
        <v/>
      </c>
      <c r="C35" s="4" t="n"/>
      <c r="D35" s="4" t="inlineStr">
        <is>
          <t>Geral</t>
        </is>
      </c>
      <c r="E35" s="4" t="n">
        <v>1</v>
      </c>
      <c r="F35" s="4" t="n">
        <v>4</v>
      </c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5" t="n"/>
      <c r="B36" s="4">
        <f>IF(A36="","",TEXT(A36,"dddd"))</f>
        <v/>
      </c>
      <c r="C36" s="4" t="n"/>
      <c r="D36" s="4" t="inlineStr">
        <is>
          <t>Geral</t>
        </is>
      </c>
      <c r="E36" s="4" t="n">
        <v>1</v>
      </c>
      <c r="F36" s="4" t="n">
        <v>4</v>
      </c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5" t="n"/>
      <c r="B37" s="4">
        <f>IF(A37="","",TEXT(A37,"dddd"))</f>
        <v/>
      </c>
      <c r="C37" s="4" t="n"/>
      <c r="D37" s="4" t="inlineStr">
        <is>
          <t>Geral</t>
        </is>
      </c>
      <c r="E37" s="4" t="n">
        <v>1</v>
      </c>
      <c r="F37" s="4" t="n">
        <v>4</v>
      </c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5" t="n"/>
      <c r="B38" s="4">
        <f>IF(A38="","",TEXT(A38,"dddd"))</f>
        <v/>
      </c>
      <c r="C38" s="4" t="n"/>
      <c r="D38" s="4" t="inlineStr">
        <is>
          <t>Geral</t>
        </is>
      </c>
      <c r="E38" s="4" t="n">
        <v>1</v>
      </c>
      <c r="F38" s="4" t="n">
        <v>4</v>
      </c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5" t="n"/>
      <c r="B39" s="4">
        <f>IF(A39="","",TEXT(A39,"dddd"))</f>
        <v/>
      </c>
      <c r="C39" s="4" t="n"/>
      <c r="D39" s="4" t="inlineStr">
        <is>
          <t>Geral</t>
        </is>
      </c>
      <c r="E39" s="4" t="n">
        <v>1</v>
      </c>
      <c r="F39" s="4" t="n">
        <v>4</v>
      </c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5" t="n"/>
      <c r="B40" s="4">
        <f>IF(A40="","",TEXT(A40,"dddd"))</f>
        <v/>
      </c>
      <c r="C40" s="4" t="n"/>
      <c r="D40" s="4" t="inlineStr">
        <is>
          <t>Geral</t>
        </is>
      </c>
      <c r="E40" s="4" t="n">
        <v>1</v>
      </c>
      <c r="F40" s="4" t="n">
        <v>4</v>
      </c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5" t="n"/>
      <c r="B41" s="4">
        <f>IF(A41="","",TEXT(A41,"dddd"))</f>
        <v/>
      </c>
      <c r="C41" s="4" t="n"/>
      <c r="D41" s="4" t="inlineStr">
        <is>
          <t>Geral</t>
        </is>
      </c>
      <c r="E41" s="4" t="n">
        <v>1</v>
      </c>
      <c r="F41" s="4" t="n">
        <v>4</v>
      </c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5" t="n"/>
      <c r="B42" s="4">
        <f>IF(A42="","",TEXT(A42,"dddd"))</f>
        <v/>
      </c>
      <c r="C42" s="4" t="n"/>
      <c r="D42" s="4" t="inlineStr">
        <is>
          <t>Geral</t>
        </is>
      </c>
      <c r="E42" s="4" t="n">
        <v>1</v>
      </c>
      <c r="F42" s="4" t="n">
        <v>4</v>
      </c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5" t="n"/>
      <c r="B43" s="4">
        <f>IF(A43="","",TEXT(A43,"dddd"))</f>
        <v/>
      </c>
      <c r="C43" s="4" t="n"/>
      <c r="D43" s="4" t="inlineStr">
        <is>
          <t>Geral</t>
        </is>
      </c>
      <c r="E43" s="4" t="n">
        <v>1</v>
      </c>
      <c r="F43" s="4" t="n">
        <v>4</v>
      </c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5" t="n"/>
      <c r="B44" s="4">
        <f>IF(A44="","",TEXT(A44,"dddd"))</f>
        <v/>
      </c>
      <c r="C44" s="4" t="n"/>
      <c r="D44" s="4" t="inlineStr">
        <is>
          <t>Geral</t>
        </is>
      </c>
      <c r="E44" s="4" t="n">
        <v>1</v>
      </c>
      <c r="F44" s="4" t="n">
        <v>4</v>
      </c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5" t="n"/>
      <c r="B45" s="4">
        <f>IF(A45="","",TEXT(A45,"dddd"))</f>
        <v/>
      </c>
      <c r="C45" s="4" t="n"/>
      <c r="D45" s="4" t="inlineStr">
        <is>
          <t>Geral</t>
        </is>
      </c>
      <c r="E45" s="4" t="n">
        <v>1</v>
      </c>
      <c r="F45" s="4" t="n">
        <v>4</v>
      </c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5" t="n"/>
      <c r="B46" s="4">
        <f>IF(A46="","",TEXT(A46,"dddd"))</f>
        <v/>
      </c>
      <c r="C46" s="4" t="n"/>
      <c r="D46" s="4" t="inlineStr">
        <is>
          <t>Geral</t>
        </is>
      </c>
      <c r="E46" s="4" t="n">
        <v>1</v>
      </c>
      <c r="F46" s="4" t="n">
        <v>4</v>
      </c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5" t="n"/>
      <c r="B47" s="4">
        <f>IF(A47="","",TEXT(A47,"dddd"))</f>
        <v/>
      </c>
      <c r="C47" s="4" t="n"/>
      <c r="D47" s="4" t="inlineStr">
        <is>
          <t>Geral</t>
        </is>
      </c>
      <c r="E47" s="4" t="n">
        <v>1</v>
      </c>
      <c r="F47" s="4" t="n">
        <v>4</v>
      </c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5" t="n"/>
      <c r="B48" s="4">
        <f>IF(A48="","",TEXT(A48,"dddd"))</f>
        <v/>
      </c>
      <c r="C48" s="4" t="n"/>
      <c r="D48" s="4" t="inlineStr">
        <is>
          <t>Geral</t>
        </is>
      </c>
      <c r="E48" s="4" t="n">
        <v>1</v>
      </c>
      <c r="F48" s="4" t="n">
        <v>4</v>
      </c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5" t="n"/>
      <c r="B49" s="4">
        <f>IF(A49="","",TEXT(A49,"dddd"))</f>
        <v/>
      </c>
      <c r="C49" s="4" t="n"/>
      <c r="D49" s="4" t="inlineStr">
        <is>
          <t>Geral</t>
        </is>
      </c>
      <c r="E49" s="4" t="n">
        <v>1</v>
      </c>
      <c r="F49" s="4" t="n">
        <v>4</v>
      </c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5" t="n"/>
      <c r="B50" s="4">
        <f>IF(A50="","",TEXT(A50,"dddd"))</f>
        <v/>
      </c>
      <c r="C50" s="4" t="n"/>
      <c r="D50" s="4" t="inlineStr">
        <is>
          <t>Geral</t>
        </is>
      </c>
      <c r="E50" s="4" t="n">
        <v>1</v>
      </c>
      <c r="F50" s="4" t="n">
        <v>4</v>
      </c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5" t="n"/>
      <c r="B51" s="4">
        <f>IF(A51="","",TEXT(A51,"dddd"))</f>
        <v/>
      </c>
      <c r="C51" s="4" t="n"/>
      <c r="D51" s="4" t="inlineStr">
        <is>
          <t>Geral</t>
        </is>
      </c>
      <c r="E51" s="4" t="n">
        <v>1</v>
      </c>
      <c r="F51" s="4" t="n">
        <v>4</v>
      </c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5" t="n"/>
      <c r="B52" s="4">
        <f>IF(A52="","",TEXT(A52,"dddd"))</f>
        <v/>
      </c>
      <c r="C52" s="4" t="n"/>
      <c r="D52" s="4" t="inlineStr">
        <is>
          <t>Geral</t>
        </is>
      </c>
      <c r="E52" s="4" t="n">
        <v>1</v>
      </c>
      <c r="F52" s="4" t="n">
        <v>4</v>
      </c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5" t="n"/>
      <c r="B53" s="4">
        <f>IF(A53="","",TEXT(A53,"dddd"))</f>
        <v/>
      </c>
      <c r="C53" s="4" t="n"/>
      <c r="D53" s="4" t="inlineStr">
        <is>
          <t>Geral</t>
        </is>
      </c>
      <c r="E53" s="4" t="n">
        <v>1</v>
      </c>
      <c r="F53" s="4" t="n">
        <v>4</v>
      </c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5" t="n"/>
      <c r="B54" s="4">
        <f>IF(A54="","",TEXT(A54,"dddd"))</f>
        <v/>
      </c>
      <c r="C54" s="4" t="n"/>
      <c r="D54" s="4" t="inlineStr">
        <is>
          <t>Geral</t>
        </is>
      </c>
      <c r="E54" s="4" t="n">
        <v>1</v>
      </c>
      <c r="F54" s="4" t="n">
        <v>4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5" t="n"/>
      <c r="B55" s="4">
        <f>IF(A55="","",TEXT(A55,"dddd"))</f>
        <v/>
      </c>
      <c r="C55" s="4" t="n"/>
      <c r="D55" s="4" t="inlineStr">
        <is>
          <t>Geral</t>
        </is>
      </c>
      <c r="E55" s="4" t="n">
        <v>1</v>
      </c>
      <c r="F55" s="4" t="n">
        <v>4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5" t="n"/>
      <c r="B56" s="4">
        <f>IF(A56="","",TEXT(A56,"dddd"))</f>
        <v/>
      </c>
      <c r="C56" s="4" t="n"/>
      <c r="D56" s="4" t="inlineStr">
        <is>
          <t>Geral</t>
        </is>
      </c>
      <c r="E56" s="4" t="n">
        <v>1</v>
      </c>
      <c r="F56" s="4" t="n">
        <v>4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5" t="n"/>
      <c r="B57" s="4">
        <f>IF(A57="","",TEXT(A57,"dddd"))</f>
        <v/>
      </c>
      <c r="C57" s="4" t="n"/>
      <c r="D57" s="4" t="inlineStr">
        <is>
          <t>Geral</t>
        </is>
      </c>
      <c r="E57" s="4" t="n">
        <v>1</v>
      </c>
      <c r="F57" s="4" t="n">
        <v>4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5" t="n"/>
      <c r="B58" s="4">
        <f>IF(A58="","",TEXT(A58,"dddd"))</f>
        <v/>
      </c>
      <c r="C58" s="4" t="n"/>
      <c r="D58" s="4" t="inlineStr">
        <is>
          <t>Geral</t>
        </is>
      </c>
      <c r="E58" s="4" t="n">
        <v>1</v>
      </c>
      <c r="F58" s="4" t="n">
        <v>4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5" t="n"/>
      <c r="B59" s="4">
        <f>IF(A59="","",TEXT(A59,"dddd"))</f>
        <v/>
      </c>
      <c r="C59" s="4" t="n"/>
      <c r="D59" s="4" t="inlineStr">
        <is>
          <t>Geral</t>
        </is>
      </c>
      <c r="E59" s="4" t="n">
        <v>1</v>
      </c>
      <c r="F59" s="4" t="n">
        <v>4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5" t="n"/>
      <c r="B60" s="4">
        <f>IF(A60="","",TEXT(A60,"dddd"))</f>
        <v/>
      </c>
      <c r="C60" s="4" t="n"/>
      <c r="D60" s="4" t="inlineStr">
        <is>
          <t>Geral</t>
        </is>
      </c>
      <c r="E60" s="4" t="n">
        <v>1</v>
      </c>
      <c r="F60" s="4" t="n">
        <v>4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5" t="n"/>
      <c r="B61" s="4">
        <f>IF(A61="","",TEXT(A61,"dddd"))</f>
        <v/>
      </c>
      <c r="C61" s="4" t="n"/>
      <c r="D61" s="4" t="inlineStr">
        <is>
          <t>Geral</t>
        </is>
      </c>
      <c r="E61" s="4" t="n">
        <v>1</v>
      </c>
      <c r="F61" s="4" t="n">
        <v>4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5" t="n"/>
      <c r="B62" s="4">
        <f>IF(A62="","",TEXT(A62,"dddd"))</f>
        <v/>
      </c>
      <c r="C62" s="4" t="n"/>
      <c r="D62" s="4" t="inlineStr">
        <is>
          <t>Geral</t>
        </is>
      </c>
      <c r="E62" s="4" t="n">
        <v>1</v>
      </c>
      <c r="F62" s="4" t="n">
        <v>4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5" t="n"/>
      <c r="B63" s="4">
        <f>IF(A63="","",TEXT(A63,"dddd"))</f>
        <v/>
      </c>
      <c r="C63" s="4" t="n"/>
      <c r="D63" s="4" t="inlineStr">
        <is>
          <t>Geral</t>
        </is>
      </c>
      <c r="E63" s="4" t="n">
        <v>1</v>
      </c>
      <c r="F63" s="4" t="n">
        <v>4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5" t="n"/>
      <c r="B64" s="4">
        <f>IF(A64="","",TEXT(A64,"dddd"))</f>
        <v/>
      </c>
      <c r="C64" s="4" t="n"/>
      <c r="D64" s="4" t="inlineStr">
        <is>
          <t>Geral</t>
        </is>
      </c>
      <c r="E64" s="4" t="n">
        <v>1</v>
      </c>
      <c r="F64" s="4" t="n">
        <v>4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5" t="n"/>
      <c r="B65" s="4">
        <f>IF(A65="","",TEXT(A65,"dddd"))</f>
        <v/>
      </c>
      <c r="C65" s="4" t="n"/>
      <c r="D65" s="4" t="inlineStr">
        <is>
          <t>Geral</t>
        </is>
      </c>
      <c r="E65" s="4" t="n">
        <v>1</v>
      </c>
      <c r="F65" s="4" t="n">
        <v>4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5" t="n"/>
      <c r="B66" s="4">
        <f>IF(A66="","",TEXT(A66,"dddd"))</f>
        <v/>
      </c>
      <c r="C66" s="4" t="n"/>
      <c r="D66" s="4" t="inlineStr">
        <is>
          <t>Geral</t>
        </is>
      </c>
      <c r="E66" s="4" t="n">
        <v>1</v>
      </c>
      <c r="F66" s="4" t="n">
        <v>4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5" t="n"/>
      <c r="B67" s="4">
        <f>IF(A67="","",TEXT(A67,"dddd"))</f>
        <v/>
      </c>
      <c r="C67" s="4" t="n"/>
      <c r="D67" s="4" t="inlineStr">
        <is>
          <t>Geral</t>
        </is>
      </c>
      <c r="E67" s="4" t="n">
        <v>1</v>
      </c>
      <c r="F67" s="4" t="n">
        <v>4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5" t="n"/>
      <c r="B68" s="4">
        <f>IF(A68="","",TEXT(A68,"dddd"))</f>
        <v/>
      </c>
      <c r="C68" s="4" t="n"/>
      <c r="D68" s="4" t="inlineStr">
        <is>
          <t>Geral</t>
        </is>
      </c>
      <c r="E68" s="4" t="n">
        <v>1</v>
      </c>
      <c r="F68" s="4" t="n">
        <v>4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5" t="n"/>
      <c r="B69" s="4">
        <f>IF(A69="","",TEXT(A69,"dddd"))</f>
        <v/>
      </c>
      <c r="C69" s="4" t="n"/>
      <c r="D69" s="4" t="inlineStr">
        <is>
          <t>Geral</t>
        </is>
      </c>
      <c r="E69" s="4" t="n">
        <v>1</v>
      </c>
      <c r="F69" s="4" t="n">
        <v>4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5" t="n"/>
      <c r="B70" s="4">
        <f>IF(A70="","",TEXT(A70,"dddd"))</f>
        <v/>
      </c>
      <c r="C70" s="4" t="n"/>
      <c r="D70" s="4" t="inlineStr">
        <is>
          <t>Geral</t>
        </is>
      </c>
      <c r="E70" s="4" t="n">
        <v>1</v>
      </c>
      <c r="F70" s="4" t="n">
        <v>4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5" t="n"/>
      <c r="B71" s="4">
        <f>IF(A71="","",TEXT(A71,"dddd"))</f>
        <v/>
      </c>
      <c r="C71" s="4" t="n"/>
      <c r="D71" s="4" t="inlineStr">
        <is>
          <t>Geral</t>
        </is>
      </c>
      <c r="E71" s="4" t="n">
        <v>1</v>
      </c>
      <c r="F71" s="4" t="n">
        <v>4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5" t="n"/>
      <c r="B72" s="4">
        <f>IF(A72="","",TEXT(A72,"dddd"))</f>
        <v/>
      </c>
      <c r="C72" s="4" t="n"/>
      <c r="D72" s="4" t="inlineStr">
        <is>
          <t>Geral</t>
        </is>
      </c>
      <c r="E72" s="4" t="n">
        <v>1</v>
      </c>
      <c r="F72" s="4" t="n">
        <v>4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5" t="n"/>
      <c r="B73" s="4">
        <f>IF(A73="","",TEXT(A73,"dddd"))</f>
        <v/>
      </c>
      <c r="C73" s="4" t="n"/>
      <c r="D73" s="4" t="inlineStr">
        <is>
          <t>Geral</t>
        </is>
      </c>
      <c r="E73" s="4" t="n">
        <v>1</v>
      </c>
      <c r="F73" s="4" t="n">
        <v>4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5" t="n"/>
      <c r="B74" s="4">
        <f>IF(A74="","",TEXT(A74,"dddd"))</f>
        <v/>
      </c>
      <c r="C74" s="4" t="n"/>
      <c r="D74" s="4" t="inlineStr">
        <is>
          <t>Geral</t>
        </is>
      </c>
      <c r="E74" s="4" t="n">
        <v>1</v>
      </c>
      <c r="F74" s="4" t="n">
        <v>4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5" t="n"/>
      <c r="B75" s="4">
        <f>IF(A75="","",TEXT(A75,"dddd"))</f>
        <v/>
      </c>
      <c r="C75" s="4" t="n"/>
      <c r="D75" s="4" t="inlineStr">
        <is>
          <t>Geral</t>
        </is>
      </c>
      <c r="E75" s="4" t="n">
        <v>1</v>
      </c>
      <c r="F75" s="4" t="n">
        <v>4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5" t="n"/>
      <c r="B76" s="4">
        <f>IF(A76="","",TEXT(A76,"dddd"))</f>
        <v/>
      </c>
      <c r="C76" s="4" t="n"/>
      <c r="D76" s="4" t="inlineStr">
        <is>
          <t>Geral</t>
        </is>
      </c>
      <c r="E76" s="4" t="n">
        <v>1</v>
      </c>
      <c r="F76" s="4" t="n">
        <v>4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5" t="n"/>
      <c r="B77" s="4">
        <f>IF(A77="","",TEXT(A77,"dddd"))</f>
        <v/>
      </c>
      <c r="C77" s="4" t="n"/>
      <c r="D77" s="4" t="inlineStr">
        <is>
          <t>Geral</t>
        </is>
      </c>
      <c r="E77" s="4" t="n">
        <v>1</v>
      </c>
      <c r="F77" s="4" t="n">
        <v>4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5" t="n"/>
      <c r="B78" s="4">
        <f>IF(A78="","",TEXT(A78,"dddd"))</f>
        <v/>
      </c>
      <c r="C78" s="4" t="n"/>
      <c r="D78" s="4" t="inlineStr">
        <is>
          <t>Geral</t>
        </is>
      </c>
      <c r="E78" s="4" t="n">
        <v>1</v>
      </c>
      <c r="F78" s="4" t="n">
        <v>4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5" t="n"/>
      <c r="B79" s="4">
        <f>IF(A79="","",TEXT(A79,"dddd"))</f>
        <v/>
      </c>
      <c r="C79" s="4" t="n"/>
      <c r="D79" s="4" t="inlineStr">
        <is>
          <t>Geral</t>
        </is>
      </c>
      <c r="E79" s="4" t="n">
        <v>1</v>
      </c>
      <c r="F79" s="4" t="n">
        <v>4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5" t="n"/>
      <c r="B80" s="4">
        <f>IF(A80="","",TEXT(A80,"dddd"))</f>
        <v/>
      </c>
      <c r="C80" s="4" t="n"/>
      <c r="D80" s="4" t="inlineStr">
        <is>
          <t>Geral</t>
        </is>
      </c>
      <c r="E80" s="4" t="n">
        <v>1</v>
      </c>
      <c r="F80" s="4" t="n">
        <v>4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5" t="n"/>
      <c r="B81" s="4">
        <f>IF(A81="","",TEXT(A81,"dddd"))</f>
        <v/>
      </c>
      <c r="C81" s="4" t="n"/>
      <c r="D81" s="4" t="inlineStr">
        <is>
          <t>Geral</t>
        </is>
      </c>
      <c r="E81" s="4" t="n">
        <v>1</v>
      </c>
      <c r="F81" s="4" t="n">
        <v>4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5" t="n"/>
      <c r="B82" s="4">
        <f>IF(A82="","",TEXT(A82,"dddd"))</f>
        <v/>
      </c>
      <c r="C82" s="4" t="n"/>
      <c r="D82" s="4" t="inlineStr">
        <is>
          <t>Geral</t>
        </is>
      </c>
      <c r="E82" s="4" t="n">
        <v>1</v>
      </c>
      <c r="F82" s="4" t="n">
        <v>4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5" t="n"/>
      <c r="B83" s="4">
        <f>IF(A83="","",TEXT(A83,"dddd"))</f>
        <v/>
      </c>
      <c r="C83" s="4" t="n"/>
      <c r="D83" s="4" t="inlineStr">
        <is>
          <t>Geral</t>
        </is>
      </c>
      <c r="E83" s="4" t="n">
        <v>1</v>
      </c>
      <c r="F83" s="4" t="n">
        <v>4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5" t="n"/>
      <c r="B84" s="4">
        <f>IF(A84="","",TEXT(A84,"dddd"))</f>
        <v/>
      </c>
      <c r="C84" s="4" t="n"/>
      <c r="D84" s="4" t="inlineStr">
        <is>
          <t>Geral</t>
        </is>
      </c>
      <c r="E84" s="4" t="n">
        <v>1</v>
      </c>
      <c r="F84" s="4" t="n">
        <v>4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5" t="n"/>
      <c r="B85" s="4">
        <f>IF(A85="","",TEXT(A85,"dddd"))</f>
        <v/>
      </c>
      <c r="C85" s="4" t="n"/>
      <c r="D85" s="4" t="inlineStr">
        <is>
          <t>Geral</t>
        </is>
      </c>
      <c r="E85" s="4" t="n">
        <v>1</v>
      </c>
      <c r="F85" s="4" t="n">
        <v>4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5" t="n"/>
      <c r="B86" s="4">
        <f>IF(A86="","",TEXT(A86,"dddd"))</f>
        <v/>
      </c>
      <c r="C86" s="4" t="n"/>
      <c r="D86" s="4" t="inlineStr">
        <is>
          <t>Geral</t>
        </is>
      </c>
      <c r="E86" s="4" t="n">
        <v>1</v>
      </c>
      <c r="F86" s="4" t="n">
        <v>4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5" t="n"/>
      <c r="B87" s="4">
        <f>IF(A87="","",TEXT(A87,"dddd"))</f>
        <v/>
      </c>
      <c r="C87" s="4" t="n"/>
      <c r="D87" s="4" t="inlineStr">
        <is>
          <t>Geral</t>
        </is>
      </c>
      <c r="E87" s="4" t="n">
        <v>1</v>
      </c>
      <c r="F87" s="4" t="n">
        <v>4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5" t="n"/>
      <c r="B88" s="4">
        <f>IF(A88="","",TEXT(A88,"dddd"))</f>
        <v/>
      </c>
      <c r="C88" s="4" t="n"/>
      <c r="D88" s="4" t="inlineStr">
        <is>
          <t>Geral</t>
        </is>
      </c>
      <c r="E88" s="4" t="n">
        <v>1</v>
      </c>
      <c r="F88" s="4" t="n">
        <v>4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5" t="n"/>
      <c r="B89" s="4">
        <f>IF(A89="","",TEXT(A89,"dddd"))</f>
        <v/>
      </c>
      <c r="C89" s="4" t="n"/>
      <c r="D89" s="4" t="inlineStr">
        <is>
          <t>Geral</t>
        </is>
      </c>
      <c r="E89" s="4" t="n">
        <v>1</v>
      </c>
      <c r="F89" s="4" t="n">
        <v>4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5" t="n"/>
      <c r="B90" s="4">
        <f>IF(A90="","",TEXT(A90,"dddd"))</f>
        <v/>
      </c>
      <c r="C90" s="4" t="n"/>
      <c r="D90" s="4" t="inlineStr">
        <is>
          <t>Geral</t>
        </is>
      </c>
      <c r="E90" s="4" t="n">
        <v>1</v>
      </c>
      <c r="F90" s="4" t="n">
        <v>4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5" t="n"/>
      <c r="B91" s="4">
        <f>IF(A91="","",TEXT(A91,"dddd"))</f>
        <v/>
      </c>
      <c r="C91" s="4" t="n"/>
      <c r="D91" s="4" t="inlineStr">
        <is>
          <t>Geral</t>
        </is>
      </c>
      <c r="E91" s="4" t="n">
        <v>1</v>
      </c>
      <c r="F91" s="4" t="n">
        <v>4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5" t="n"/>
      <c r="B92" s="4">
        <f>IF(A92="","",TEXT(A92,"dddd"))</f>
        <v/>
      </c>
      <c r="C92" s="4" t="n"/>
      <c r="D92" s="4" t="inlineStr">
        <is>
          <t>Geral</t>
        </is>
      </c>
      <c r="E92" s="4" t="n">
        <v>1</v>
      </c>
      <c r="F92" s="4" t="n">
        <v>4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5" t="n"/>
      <c r="B93" s="4">
        <f>IF(A93="","",TEXT(A93,"dddd"))</f>
        <v/>
      </c>
      <c r="C93" s="4" t="n"/>
      <c r="D93" s="4" t="inlineStr">
        <is>
          <t>Geral</t>
        </is>
      </c>
      <c r="E93" s="4" t="n">
        <v>1</v>
      </c>
      <c r="F93" s="4" t="n">
        <v>4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5" t="n"/>
      <c r="B94" s="4">
        <f>IF(A94="","",TEXT(A94,"dddd"))</f>
        <v/>
      </c>
      <c r="C94" s="4" t="n"/>
      <c r="D94" s="4" t="inlineStr">
        <is>
          <t>Geral</t>
        </is>
      </c>
      <c r="E94" s="4" t="n">
        <v>1</v>
      </c>
      <c r="F94" s="4" t="n">
        <v>4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5" t="n"/>
      <c r="B95" s="4">
        <f>IF(A95="","",TEXT(A95,"dddd"))</f>
        <v/>
      </c>
      <c r="C95" s="4" t="n"/>
      <c r="D95" s="4" t="inlineStr">
        <is>
          <t>Geral</t>
        </is>
      </c>
      <c r="E95" s="4" t="n">
        <v>1</v>
      </c>
      <c r="F95" s="4" t="n">
        <v>4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5" t="n"/>
      <c r="B96" s="4">
        <f>IF(A96="","",TEXT(A96,"dddd"))</f>
        <v/>
      </c>
      <c r="C96" s="4" t="n"/>
      <c r="D96" s="4" t="inlineStr">
        <is>
          <t>Geral</t>
        </is>
      </c>
      <c r="E96" s="4" t="n">
        <v>1</v>
      </c>
      <c r="F96" s="4" t="n">
        <v>4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5" t="n"/>
      <c r="B97" s="4">
        <f>IF(A97="","",TEXT(A97,"dddd"))</f>
        <v/>
      </c>
      <c r="C97" s="4" t="n"/>
      <c r="D97" s="4" t="inlineStr">
        <is>
          <t>Geral</t>
        </is>
      </c>
      <c r="E97" s="4" t="n">
        <v>1</v>
      </c>
      <c r="F97" s="4" t="n">
        <v>4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5" t="n"/>
      <c r="B98" s="4">
        <f>IF(A98="","",TEXT(A98,"dddd"))</f>
        <v/>
      </c>
      <c r="C98" s="4" t="n"/>
      <c r="D98" s="4" t="inlineStr">
        <is>
          <t>Geral</t>
        </is>
      </c>
      <c r="E98" s="4" t="n">
        <v>1</v>
      </c>
      <c r="F98" s="4" t="n">
        <v>4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5" t="n"/>
      <c r="B99" s="4">
        <f>IF(A99="","",TEXT(A99,"dddd"))</f>
        <v/>
      </c>
      <c r="C99" s="4" t="n"/>
      <c r="D99" s="4" t="inlineStr">
        <is>
          <t>Geral</t>
        </is>
      </c>
      <c r="E99" s="4" t="n">
        <v>1</v>
      </c>
      <c r="F99" s="4" t="n">
        <v>4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5" t="n"/>
      <c r="B100" s="4">
        <f>IF(A100="","",TEXT(A100,"dddd"))</f>
        <v/>
      </c>
      <c r="C100" s="4" t="n"/>
      <c r="D100" s="4" t="inlineStr">
        <is>
          <t>Geral</t>
        </is>
      </c>
      <c r="E100" s="4" t="n">
        <v>1</v>
      </c>
      <c r="F100" s="4" t="n">
        <v>4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5" t="n"/>
      <c r="B101" s="4">
        <f>IF(A101="","",TEXT(A101,"dddd"))</f>
        <v/>
      </c>
      <c r="C101" s="4" t="n"/>
      <c r="D101" s="4" t="inlineStr">
        <is>
          <t>Geral</t>
        </is>
      </c>
      <c r="E101" s="4" t="n">
        <v>1</v>
      </c>
      <c r="F101" s="4" t="n">
        <v>4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5" t="n"/>
      <c r="B102" s="4">
        <f>IF(A102="","",TEXT(A102,"dddd"))</f>
        <v/>
      </c>
      <c r="C102" s="4" t="n"/>
      <c r="D102" s="4" t="inlineStr">
        <is>
          <t>Geral</t>
        </is>
      </c>
      <c r="E102" s="4" t="n">
        <v>1</v>
      </c>
      <c r="F102" s="4" t="n">
        <v>4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5" t="n"/>
      <c r="B103" s="4">
        <f>IF(A103="","",TEXT(A103,"dddd"))</f>
        <v/>
      </c>
      <c r="C103" s="4" t="n"/>
      <c r="D103" s="4" t="inlineStr">
        <is>
          <t>Geral</t>
        </is>
      </c>
      <c r="E103" s="4" t="n">
        <v>1</v>
      </c>
      <c r="F103" s="4" t="n">
        <v>4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5" t="n"/>
      <c r="B104" s="4">
        <f>IF(A104="","",TEXT(A104,"dddd"))</f>
        <v/>
      </c>
      <c r="C104" s="4" t="n"/>
      <c r="D104" s="4" t="inlineStr">
        <is>
          <t>Geral</t>
        </is>
      </c>
      <c r="E104" s="4" t="n">
        <v>1</v>
      </c>
      <c r="F104" s="4" t="n">
        <v>4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5" t="n"/>
      <c r="B105" s="4">
        <f>IF(A105="","",TEXT(A105,"dddd"))</f>
        <v/>
      </c>
      <c r="C105" s="4" t="n"/>
      <c r="D105" s="4" t="inlineStr">
        <is>
          <t>Geral</t>
        </is>
      </c>
      <c r="E105" s="4" t="n">
        <v>1</v>
      </c>
      <c r="F105" s="4" t="n">
        <v>4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5" t="n"/>
      <c r="B106" s="4">
        <f>IF(A106="","",TEXT(A106,"dddd"))</f>
        <v/>
      </c>
      <c r="C106" s="4" t="n"/>
      <c r="D106" s="4" t="inlineStr">
        <is>
          <t>Geral</t>
        </is>
      </c>
      <c r="E106" s="4" t="n">
        <v>1</v>
      </c>
      <c r="F106" s="4" t="n">
        <v>4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</sheetData>
  <mergeCells count="2">
    <mergeCell ref="A2:N2"/>
    <mergeCell ref="A1:N1"/>
  </mergeCells>
  <dataValidations count="2">
    <dataValidation sqref="C7:C106" showDropDown="0" showInputMessage="0" showErrorMessage="0" allowBlank="0" type="list">
      <formula1>"Ensolarado,Nublado,Chuva leve,Chuva forte,Impraticável"</formula1>
    </dataValidation>
    <dataValidation sqref="D7:D106" showDropDown="0" showInputMessage="0" showErrorMessage="0" allowBlank="0" type="list">
      <formula1>"Geral,A,B,C"</formula1>
    </dataValidation>
  </dataValidations>
  <pageMargins left="0.25" right="0.25" top="0.5" bottom="0.5" header="0.2" footer="0.2"/>
  <pageSetup orientation="landscape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COMO USAR ESTA PLANILHA</t>
        </is>
      </c>
    </row>
    <row r="3">
      <c r="A3" s="27" t="inlineStr">
        <is>
          <t>1. Defina a data de início</t>
        </is>
      </c>
    </row>
    <row r="4" ht="34" customHeight="1">
      <c r="A4" s="28" t="inlineStr">
        <is>
          <t>No Painel, preencha a célula amarela “Data de início planejada”. O cronograma e as datas das parcelas serão calculados automaticamente.</t>
        </is>
      </c>
    </row>
    <row r="6">
      <c r="A6" s="27" t="inlineStr">
        <is>
          <t>2. Atualize o cronograma</t>
        </is>
      </c>
    </row>
    <row r="7" ht="34" customHeight="1">
      <c r="A7" s="28" t="inlineStr">
        <is>
          <t>Na aba Cronograma, informe o percentual concluído, a situação e as datas reais. Use 100% e “Concluída” quando a etapa terminar.</t>
        </is>
      </c>
    </row>
    <row r="9">
      <c r="A9" s="27" t="inlineStr">
        <is>
          <t>3. Registre recebimentos</t>
        </is>
      </c>
    </row>
    <row r="10" ht="34" customHeight="1">
      <c r="A10" s="28" t="inlineStr">
        <is>
          <t>Na aba Financeiro, atualize a situação, data e valor recebido de cada parcela.</t>
        </is>
      </c>
    </row>
    <row r="12">
      <c r="A12" s="27" t="inlineStr">
        <is>
          <t>4. Registre todas as despesas</t>
        </is>
      </c>
    </row>
    <row r="13" ht="34" customHeight="1">
      <c r="A13" s="28" t="inlineStr">
        <is>
          <t>Use uma linha por gasto na aba Despesas. Informe nota fiscal ou comprovante e marque como pago somente após a quitação.</t>
        </is>
      </c>
    </row>
    <row r="15">
      <c r="A15" s="27" t="inlineStr">
        <is>
          <t>5. Controle os materiais</t>
        </is>
      </c>
    </row>
    <row r="16" ht="34" customHeight="1">
      <c r="A16" s="28" t="inlineStr">
        <is>
          <t>Na aba Materiais, acompanhe o que foi solicitado, entregue e consumido. A coluna “A entregar” mostra possíveis faltas.</t>
        </is>
      </c>
    </row>
    <row r="18">
      <c r="A18" s="27" t="inlineStr">
        <is>
          <t>6. Faça medições mensais</t>
        </is>
      </c>
    </row>
    <row r="19" ht="34" customHeight="1">
      <c r="A19" s="28" t="inlineStr">
        <is>
          <t>Registre o avanço físico acumulado, evidências e aprovação do condomínio na aba Medições.</t>
        </is>
      </c>
    </row>
    <row r="21">
      <c r="A21" s="27" t="inlineStr">
        <is>
          <t>7. Preencha o diário</t>
        </is>
      </c>
    </row>
    <row r="22" ht="34" customHeight="1">
      <c r="A22" s="28" t="inlineStr">
        <is>
          <t>Registre diariamente clima, equipe, atividades, materiais, segurança, ocorrências e fotos.</t>
        </is>
      </c>
    </row>
    <row r="24">
      <c r="A24" s="27" t="inlineStr">
        <is>
          <t>8. Faça cópias de segurança</t>
        </is>
      </c>
    </row>
    <row r="25" ht="34" customHeight="1">
      <c r="A25" s="28" t="inlineStr">
        <is>
          <t>Salve uma cópia semanal com a data no nome do arquivo e mantenha comprovantes e fotos em pasta vinculada à obra.</t>
        </is>
      </c>
    </row>
  </sheetData>
  <mergeCells count="17">
    <mergeCell ref="A9:H9"/>
    <mergeCell ref="A4:H4"/>
    <mergeCell ref="A12:H12"/>
    <mergeCell ref="A3:H3"/>
    <mergeCell ref="A18:H18"/>
    <mergeCell ref="A21:H21"/>
    <mergeCell ref="A15:H15"/>
    <mergeCell ref="A7:H7"/>
    <mergeCell ref="A25:H25"/>
    <mergeCell ref="A24:H24"/>
    <mergeCell ref="A16:H16"/>
    <mergeCell ref="A10:H10"/>
    <mergeCell ref="A13:H13"/>
    <mergeCell ref="A19:H19"/>
    <mergeCell ref="A1:H1"/>
    <mergeCell ref="A6:H6"/>
    <mergeCell ref="A22:H22"/>
  </mergeCells>
  <pageMargins left="0.25" right="0.25" top="0.5" bottom="0.5" header="0.2" footer="0.2"/>
  <pageSetup orientation="portrait" fitToHeight="0" fitToWidth="1"/>
  <headerFooter>
    <oddHeader/>
    <oddFooter>&amp;CMatias Magalhães Serviços de Engenharia Ltda. — Condomínio Vila Floresta&amp;RPágina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Matias Magalhães Serviços de Engenharia Ltda.</dc:creator>
  <dc:title xmlns:dc="http://purl.org/dc/elements/1.1/">Acompanhamento da obra — Condomínio Vila Floresta</dc:title>
  <dc:description xmlns:dc="http://purl.org/dc/elements/1.1/">Planilha de acompanhamento físico, financeiro, materiais, medições e diário de obra.</dc:description>
  <dc:subject xmlns:dc="http://purl.org/dc/elements/1.1/">Cronograma físico-financeiro e controles de obra</dc:subject>
  <dcterms:created xmlns:dcterms="http://purl.org/dc/terms/" xmlns:xsi="http://www.w3.org/2001/XMLSchema-instance" xsi:type="dcterms:W3CDTF">2026-10-07T15:57:23Z</dcterms:created>
  <dcterms:modified xmlns:dcterms="http://purl.org/dc/terms/" xmlns:xsi="http://www.w3.org/2001/XMLSchema-instance" xsi:type="dcterms:W3CDTF">2026-10-07T15:57:24Z</dcterms:modified>
</cp:coreProperties>
</file>